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ec5711e23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1dccd796e4846ba"/>
    <x:sheet xmlns:r="http://schemas.openxmlformats.org/officeDocument/2006/relationships" name="Orders" sheetId="2" r:id="R750c1727ef4f43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0;[Red](#,##0.00)"/>
    <x:numFmt numFmtId="201" formatCode="0%"/>
    <x:numFmt numFmtId="202" formatCode="dd-mmm-yyyy"/>
    <x:numFmt numFmtId="203" formatCode="#,##0.00"/>
    <x:numFmt numFmtId="204" formatCode="0.00%"/>
    <x:numFmt numFmtId="205" formatCode="#,##0"/>
    <x:numFmt numFmtId="206" formatCode="#,##0;[Red](#,##0)"/>
    <x:numFmt numFmtId="207" formatCode="0.0%"/>
  </x:numFmts>
  <x:fonts count="4">
    <x:font>
      <x:sz val="11"/>
      <x:name val="Carlito"/>
    </x:font>
    <x:font>
      <x:sz val="10"/>
      <x:color rgb="FF23324A"/>
      <x:name val="Arial"/>
    </x:font>
    <x:font>
      <x:b/>
      <x:sz val="10"/>
      <x:color rgb="FFFFFFFF"/>
      <x:name val="Arial"/>
    </x:font>
    <x:font>
      <x:b/>
      <x:sz val="16"/>
      <x:color rgb="FF2332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F6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</x:cellXfs>
  <x:cellStyles count="1">
    <x:cellStyle name="Normal" xfId="0"/>
  </x:cellStyles>
  <x:dxfs count="1">
    <x:dxf>
      <x:font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db7c93fbe94ede" /><Relationship Type="http://schemas.openxmlformats.org/officeDocument/2006/relationships/theme" Target="/xl/theme/theme1.xml" Id="Rd09cc8abbd0241ab" /><Relationship Type="http://schemas.openxmlformats.org/officeDocument/2006/relationships/sharedStrings" Target="/xl/sharedStrings.xml" Id="Rc40c2d6ae4e94316" /><Relationship Type="http://schemas.openxmlformats.org/officeDocument/2006/relationships/worksheet" Target="/xl/worksheets/sheet1.xml" Id="R11dccd796e4846ba" /><Relationship Type="http://schemas.openxmlformats.org/officeDocument/2006/relationships/worksheet" Target="/xl/worksheets/sheet2.xml" Id="R750c1727ef4f43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3999a5504548fd" /><Relationship Type="http://schemas.openxmlformats.org/officeDocument/2006/relationships/chart" Target="/xl/drawings/charts/chart2.xml" Id="R3ad9c7aab75646c3" /><Relationship Type="http://schemas.openxmlformats.org/officeDocument/2006/relationships/chart" Target="/xl/drawings/charts/chart3.xml" Id="R1e8d5eb6237d4ab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sales (INR)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Sales</c:v>
          </c:tx>
          <c:spPr>
            <a:ln xmlns:a="http://schemas.openxmlformats.org/drawingml/2006/main" w="19050">
              <a:solidFill>
                <a:srgbClr val="385DA6"/>
              </a:solidFill>
              <a:prstDash val="solid"/>
            </a:ln>
          </c:spPr>
          <c:marker>
            <c:symbol val="none"/>
          </c:marker>
          <c:cat>
            <c:strRef>
              <c:f>'Dashboard'!$A$15:$A$26</c:f>
              <c:strCache>
                <c:ptCount val="0"/>
              </c:strCache>
            </c:strRef>
          </c:cat>
          <c:val>
            <c:numRef>
              <c:f>'Dashboard'!$B$15:$B$26</c:f>
              <c:numCache>
                <c:formatCode>#,##0;[Red](#,##0)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Category profit (INR)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Profit</c:v>
          </c:tx>
          <c:spPr>
            <a:solidFill xmlns:a="http://schemas.openxmlformats.org/drawingml/2006/main">
              <a:srgbClr val="385DA6"/>
            </a:solidFill>
          </c:spPr>
          <c:cat>
            <c:strRef>
              <c:f>'Dashboard'!$A$30:$A$32</c:f>
              <c:strCache>
                <c:ptCount val="0"/>
              </c:strCache>
            </c:strRef>
          </c:cat>
          <c:val>
            <c:numRef>
              <c:f>'Dashboard'!$C$30:$C$32</c:f>
              <c:numCache>
                <c:formatCode>#,##0;[Red](#,##0)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Profit by discount rate (INR)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Profit</c:v>
          </c:tx>
          <c:spPr>
            <a:solidFill xmlns:a="http://schemas.openxmlformats.org/drawingml/2006/main">
              <a:srgbClr val="385DA6"/>
            </a:solidFill>
          </c:spPr>
          <c:cat>
            <c:strRef>
              <c:f>'Dashboard'!$A$44:$A$49</c:f>
              <c:strCache>
                <c:ptCount val="0"/>
              </c:strCache>
            </c:strRef>
          </c:cat>
          <c:val>
            <c:numRef>
              <c:f>'Dashboard'!$C$44:$C$49</c:f>
              <c:numCache>
                <c:formatCode>#,##0;[Red](#,##0)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3999a5504548fd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d9c7aab75646c3"/>
        </a:graphicData>
      </a:graphic>
    </xdr:graphicFrame>
    <xdr:clientData/>
  </xdr:twoCellAnchor>
  <xdr:twoCellAnchor>
    <xdr:from>
      <xdr:col>5</xdr:col>
      <xdr:colOff>0</xdr:colOff>
      <xdr:row>35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8d5eb6237d4ab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rdersTable" displayName="OrdersTable" ref="A4:P1204" headerRowCount="1" totalsRowCount="0" totalsRowShown="0">
  <x:tableColumns count="16">
    <x:tableColumn id="1" name="Order ID"/>
    <x:tableColumn id="2" name="Date"/>
    <x:tableColumn id="3" name="Customer"/>
    <x:tableColumn id="4" name="Region"/>
    <x:tableColumn id="5" name="Category"/>
    <x:tableColumn id="6" name="Product"/>
    <x:tableColumn id="7" name="Quantity"/>
    <x:tableColumn id="8" name="Unit price"/>
    <x:tableColumn id="9" name="Discount"/>
    <x:tableColumn id="10" name="Unit cost"/>
    <x:tableColumn id="11" name="Shipping"/>
    <x:tableColumn id="12" name="Gross sales"/>
    <x:tableColumn id="13" name="Sales"/>
    <x:tableColumn id="14" name="Product cost"/>
    <x:tableColumn id="15" name="Profit"/>
    <x:tableColumn id="16" name="Mon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b24b15d51d44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b5f014d7f84c7e" /></Relationships>
</file>

<file path=xl/worksheets/sheet1.xml><?xml version="1.0" encoding="utf-8"?>
<x:worksheet xmlns:x="http://schemas.openxmlformats.org/spreadsheetml/2006/main">
  <x:sheetPr>
    <x:tabColor rgb="FF263F68"/>
  </x:sheetPr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3" customHeight="1">
      <x:c r="A2" s="7" t="str">
        <x:v>E-commerce sales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3" customHeight="1">
      <x:c r="A3" s="1" t="str">
        <x:v>2025 synthetic portfolio dataset. All amounts in INR.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6" customHeight="1">
      <x:c r="A5" s="6" t="str">
        <x:v>Metric</x:v>
      </x:c>
      <x:c r="B5" s="6" t="str">
        <x:v>Value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1" t="str">
        <x:v>Sales</x:v>
      </x:c>
      <x:c r="B6" s="8" t="n">
        <x:f>SUM('Orders'!M5:M1204)</x:f>
        <x:v>5489435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3" customHeight="1">
      <x:c r="A7" s="1" t="str">
        <x:v>Profit</x:v>
      </x:c>
      <x:c r="B7" s="8" t="n">
        <x:f>SUM('Orders'!O5:O1204)</x:f>
        <x:v>1171445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3" customHeight="1">
      <x:c r="A8" s="1" t="str">
        <x:v>Profit margin</x:v>
      </x:c>
      <x:c r="B8" s="9" t="n">
        <x:f>B7/B6</x:f>
        <x:v>0.2133999218498807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3" customHeight="1">
      <x:c r="A9" s="1" t="str">
        <x:v>Orders</x:v>
      </x:c>
      <x:c r="B9" s="10" t="n">
        <x:f>COUNTA('Orders'!A5:A1204)</x:f>
        <x:v>1200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3" customHeight="1">
      <x:c r="A10" s="1" t="str">
        <x:v>Avg. order value</x:v>
      </x:c>
      <x:c r="B10" s="8" t="n">
        <x:f>B6/B9</x:f>
        <x:v>4574.529166666666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3" customHeight="1">
      <x:c r="A11" s="1" t="str">
        <x:v>Loss orders</x:v>
      </x:c>
      <x:c r="B11" s="1" t="n">
        <x:f>COUNTIFS('Orders'!O5:O1204,"&lt;0")</x:f>
        <x:v>79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6" customHeight="1">
      <x:c r="A14" s="6" t="str">
        <x:v>Month</x:v>
      </x:c>
      <x:c r="B14" s="6" t="str">
        <x:v>Sales</x:v>
      </x:c>
      <x:c r="C14" s="6" t="str">
        <x:v>Profit</x:v>
      </x:c>
      <x:c r="D14" s="6" t="str">
        <x:v>Margin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3" customHeight="1">
      <x:c r="A15" s="1" t="str">
        <x:v>2025-01</x:v>
      </x:c>
      <x:c r="B15" s="11" t="n">
        <x:f>SUMIFS('Orders'!$M$5:$M$1204,'Orders'!$P$5:$P$1204,A15)</x:f>
        <x:v>350350</x:v>
      </x:c>
      <x:c r="C15" s="11" t="n">
        <x:f>SUMIFS('Orders'!$O$5:$O$1204,'Orders'!$P$5:$P$1204,A15)</x:f>
        <x:v>68640</x:v>
      </x:c>
      <x:c r="D15" s="12" t="n">
        <x:f>IF(B15=0,0,C15/B15)</x:f>
        <x:v>0.19591836734693877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3" customHeight="1">
      <x:c r="A16" s="1" t="str">
        <x:v>2025-02</x:v>
      </x:c>
      <x:c r="B16" s="11" t="n">
        <x:f>SUMIFS('Orders'!$M$5:$M$1204,'Orders'!$P$5:$P$1204,A16)</x:f>
        <x:v>385540</x:v>
      </x:c>
      <x:c r="C16" s="11" t="n">
        <x:f>SUMIFS('Orders'!$O$5:$O$1204,'Orders'!$P$5:$P$1204,A16)</x:f>
        <x:v>63670</x:v>
      </x:c>
      <x:c r="D16" s="12" t="n">
        <x:f>IF(B16=0,0,C16/B16)</x:f>
        <x:v>0.16514499144057684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3" customHeight="1">
      <x:c r="A17" s="1" t="str">
        <x:v>2025-03</x:v>
      </x:c>
      <x:c r="B17" s="11" t="n">
        <x:f>SUMIFS('Orders'!$M$5:$M$1204,'Orders'!$P$5:$P$1204,A17)</x:f>
        <x:v>511495</x:v>
      </x:c>
      <x:c r="C17" s="11" t="n">
        <x:f>SUMIFS('Orders'!$O$5:$O$1204,'Orders'!$P$5:$P$1204,A17)</x:f>
        <x:v>88965</x:v>
      </x:c>
      <x:c r="D17" s="12" t="n">
        <x:f>IF(B17=0,0,C17/B17)</x:f>
        <x:v>0.1739313189767251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3" customHeight="1">
      <x:c r="A18" s="1" t="str">
        <x:v>2025-04</x:v>
      </x:c>
      <x:c r="B18" s="11" t="n">
        <x:f>SUMIFS('Orders'!$M$5:$M$1204,'Orders'!$P$5:$P$1204,A18)</x:f>
        <x:v>403010</x:v>
      </x:c>
      <x:c r="C18" s="11" t="n">
        <x:f>SUMIFS('Orders'!$O$5:$O$1204,'Orders'!$P$5:$P$1204,A18)</x:f>
        <x:v>88550</x:v>
      </x:c>
      <x:c r="D18" s="12" t="n">
        <x:f>IF(B18=0,0,C18/B18)</x:f>
        <x:v>0.21972159499764274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3" customHeight="1">
      <x:c r="A19" s="1" t="str">
        <x:v>2025-05</x:v>
      </x:c>
      <x:c r="B19" s="11" t="n">
        <x:f>SUMIFS('Orders'!$M$5:$M$1204,'Orders'!$P$5:$P$1204,A19)</x:f>
        <x:v>326895</x:v>
      </x:c>
      <x:c r="C19" s="11" t="n">
        <x:f>SUMIFS('Orders'!$O$5:$O$1204,'Orders'!$P$5:$P$1204,A19)</x:f>
        <x:v>54105</x:v>
      </x:c>
      <x:c r="D19" s="12" t="n">
        <x:f>IF(B19=0,0,C19/B19)</x:f>
        <x:v>0.165511861606938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3" customHeight="1">
      <x:c r="A20" s="1" t="str">
        <x:v>2025-06</x:v>
      </x:c>
      <x:c r="B20" s="11" t="n">
        <x:f>SUMIFS('Orders'!$M$5:$M$1204,'Orders'!$P$5:$P$1204,A20)</x:f>
        <x:v>443625</x:v>
      </x:c>
      <x:c r="C20" s="11" t="n">
        <x:f>SUMIFS('Orders'!$O$5:$O$1204,'Orders'!$P$5:$P$1204,A20)</x:f>
        <x:v>92695</x:v>
      </x:c>
      <x:c r="D20" s="12" t="n">
        <x:f>IF(B20=0,0,C20/B20)</x:f>
        <x:v>0.2089489997182305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3" customHeight="1">
      <x:c r="A21" s="1" t="str">
        <x:v>2025-07</x:v>
      </x:c>
      <x:c r="B21" s="11" t="n">
        <x:f>SUMIFS('Orders'!$M$5:$M$1204,'Orders'!$P$5:$P$1204,A21)</x:f>
        <x:v>461240</x:v>
      </x:c>
      <x:c r="C21" s="11" t="n">
        <x:f>SUMIFS('Orders'!$O$5:$O$1204,'Orders'!$P$5:$P$1204,A21)</x:f>
        <x:v>115990</x:v>
      </x:c>
      <x:c r="D21" s="12" t="n">
        <x:f>IF(B21=0,0,C21/B21)</x:f>
        <x:v>0.25147428670540284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3" customHeight="1">
      <x:c r="A22" s="1" t="str">
        <x:v>2025-08</x:v>
      </x:c>
      <x:c r="B22" s="11" t="n">
        <x:f>SUMIFS('Orders'!$M$5:$M$1204,'Orders'!$P$5:$P$1204,A22)</x:f>
        <x:v>438260</x:v>
      </x:c>
      <x:c r="C22" s="11" t="n">
        <x:f>SUMIFS('Orders'!$O$5:$O$1204,'Orders'!$P$5:$P$1204,A22)</x:f>
        <x:v>84350</x:v>
      </x:c>
      <x:c r="D22" s="12" t="n">
        <x:f>IF(B22=0,0,C22/B22)</x:f>
        <x:v>0.1924656596540866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3" customHeight="1">
      <x:c r="A23" s="1" t="str">
        <x:v>2025-09</x:v>
      </x:c>
      <x:c r="B23" s="11" t="n">
        <x:f>SUMIFS('Orders'!$M$5:$M$1204,'Orders'!$P$5:$P$1204,A23)</x:f>
        <x:v>409300</x:v>
      </x:c>
      <x:c r="C23" s="11" t="n">
        <x:f>SUMIFS('Orders'!$O$5:$O$1204,'Orders'!$P$5:$P$1204,A23)</x:f>
        <x:v>103920</x:v>
      </x:c>
      <x:c r="D23" s="12" t="n">
        <x:f>IF(B23=0,0,C23/B23)</x:f>
        <x:v>0.253896897141461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3" customHeight="1">
      <x:c r="A24" s="1" t="str">
        <x:v>2025-10</x:v>
      </x:c>
      <x:c r="B24" s="11" t="n">
        <x:f>SUMIFS('Orders'!$M$5:$M$1204,'Orders'!$P$5:$P$1204,A24)</x:f>
        <x:v>710310</x:v>
      </x:c>
      <x:c r="C24" s="11" t="n">
        <x:f>SUMIFS('Orders'!$O$5:$O$1204,'Orders'!$P$5:$P$1204,A24)</x:f>
        <x:v>158610</x:v>
      </x:c>
      <x:c r="D24" s="12" t="n">
        <x:f>IF(B24=0,0,C24/B24)</x:f>
        <x:v>0.22329687038053808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3" customHeight="1">
      <x:c r="A25" s="1" t="str">
        <x:v>2025-11</x:v>
      </x:c>
      <x:c r="B25" s="11" t="n">
        <x:f>SUMIFS('Orders'!$M$5:$M$1204,'Orders'!$P$5:$P$1204,A25)</x:f>
        <x:v>565580</x:v>
      </x:c>
      <x:c r="C25" s="11" t="n">
        <x:f>SUMIFS('Orders'!$O$5:$O$1204,'Orders'!$P$5:$P$1204,A25)</x:f>
        <x:v>138500</x:v>
      </x:c>
      <x:c r="D25" s="12" t="n">
        <x:f>IF(B25=0,0,C25/B25)</x:f>
        <x:v>0.24488136072704128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3" customHeight="1">
      <x:c r="A26" s="1" t="str">
        <x:v>2025-12</x:v>
      </x:c>
      <x:c r="B26" s="11" t="n">
        <x:f>SUMIFS('Orders'!$M$5:$M$1204,'Orders'!$P$5:$P$1204,A26)</x:f>
        <x:v>483830</x:v>
      </x:c>
      <x:c r="C26" s="11" t="n">
        <x:f>SUMIFS('Orders'!$O$5:$O$1204,'Orders'!$P$5:$P$1204,A26)</x:f>
        <x:v>113450</x:v>
      </x:c>
      <x:c r="D26" s="12" t="n">
        <x:f>IF(B26=0,0,C26/B26)</x:f>
        <x:v>0.2344831862431019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6" customHeight="1">
      <x:c r="A29" s="6" t="str">
        <x:v>Category</x:v>
      </x:c>
      <x:c r="B29" s="6" t="str">
        <x:v>Sales</x:v>
      </x:c>
      <x:c r="C29" s="6" t="str">
        <x:v>Profit</x:v>
      </x:c>
      <x:c r="D29" s="6" t="str">
        <x:v>Margin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3" customHeight="1">
      <x:c r="A30" s="1" t="str">
        <x:v>Fashion</x:v>
      </x:c>
      <x:c r="B30" s="11" t="n">
        <x:f>SUMIFS('Orders'!$M$5:$M$1204,'Orders'!$E$5:$E$1204,A30)</x:f>
        <x:v>1247215</x:v>
      </x:c>
      <x:c r="C30" s="11" t="n">
        <x:f>SUMIFS('Orders'!$O$5:$O$1204,'Orders'!$E$5:$E$1204,A30)</x:f>
        <x:v>496425</x:v>
      </x:c>
      <x:c r="D30" s="12" t="n">
        <x:f>IF(B30=0,0,C30/B30)</x:f>
        <x:v>0.3980268037186852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3" customHeight="1">
      <x:c r="A31" s="1" t="str">
        <x:v>Electronics</x:v>
      </x:c>
      <x:c r="B31" s="11" t="n">
        <x:f>SUMIFS('Orders'!$M$5:$M$1204,'Orders'!$E$5:$E$1204,A31)</x:f>
        <x:v>2127855</x:v>
      </x:c>
      <x:c r="C31" s="11" t="n">
        <x:f>SUMIFS('Orders'!$O$5:$O$1204,'Orders'!$E$5:$E$1204,A31)</x:f>
        <x:v>392655</x:v>
      </x:c>
      <x:c r="D31" s="12" t="n">
        <x:f>IF(B31=0,0,C31/B31)</x:f>
        <x:v>0.18453090083675813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3" customHeight="1">
      <x:c r="A32" s="1" t="str">
        <x:v>Home</x:v>
      </x:c>
      <x:c r="B32" s="11" t="n">
        <x:f>SUMIFS('Orders'!$M$5:$M$1204,'Orders'!$E$5:$E$1204,A32)</x:f>
        <x:v>2114365</x:v>
      </x:c>
      <x:c r="C32" s="11" t="n">
        <x:f>SUMIFS('Orders'!$O$5:$O$1204,'Orders'!$E$5:$E$1204,A32)</x:f>
        <x:v>282365</x:v>
      </x:c>
      <x:c r="D32" s="12" t="n">
        <x:f>IF(B32=0,0,C32/B32)</x:f>
        <x:v>0.13354600553830584</x:v>
      </x:c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6" customHeight="1">
      <x:c r="A35" s="6" t="str">
        <x:v>Region</x:v>
      </x:c>
      <x:c r="B35" s="6" t="str">
        <x:v>Sales</x:v>
      </x:c>
      <x:c r="C35" s="6" t="str">
        <x:v>Profit</x:v>
      </x:c>
      <x:c r="D35" s="6" t="str">
        <x:v>Margin</x:v>
      </x:c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3" customHeight="1">
      <x:c r="A36" s="1" t="str">
        <x:v>West</x:v>
      </x:c>
      <x:c r="B36" s="11" t="n">
        <x:f>SUMIFS('Orders'!$M$5:$M$1204,'Orders'!$D$5:$D$1204,A36)</x:f>
        <x:v>1428130</x:v>
      </x:c>
      <x:c r="C36" s="11" t="n">
        <x:f>SUMIFS('Orders'!$O$5:$O$1204,'Orders'!$D$5:$D$1204,A36)</x:f>
        <x:v>279520</x:v>
      </x:c>
      <x:c r="D36" s="12" t="n">
        <x:f>IF(B36=0,0,C36/B36)</x:f>
        <x:v>0.19572447886396896</x:v>
      </x:c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3" customHeight="1">
      <x:c r="A37" s="1" t="str">
        <x:v>South</x:v>
      </x:c>
      <x:c r="B37" s="11" t="n">
        <x:f>SUMIFS('Orders'!$M$5:$M$1204,'Orders'!$D$5:$D$1204,A37)</x:f>
        <x:v>1399090</x:v>
      </x:c>
      <x:c r="C37" s="11" t="n">
        <x:f>SUMIFS('Orders'!$O$5:$O$1204,'Orders'!$D$5:$D$1204,A37)</x:f>
        <x:v>307330</x:v>
      </x:c>
      <x:c r="D37" s="12" t="n">
        <x:f>IF(B37=0,0,C37/B37)</x:f>
        <x:v>0.21966421030812885</x:v>
      </x:c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3" customHeight="1">
      <x:c r="A38" s="1" t="str">
        <x:v>North</x:v>
      </x:c>
      <x:c r="B38" s="11" t="n">
        <x:f>SUMIFS('Orders'!$M$5:$M$1204,'Orders'!$D$5:$D$1204,A38)</x:f>
        <x:v>1386320</x:v>
      </x:c>
      <x:c r="C38" s="11" t="n">
        <x:f>SUMIFS('Orders'!$O$5:$O$1204,'Orders'!$D$5:$D$1204,A38)</x:f>
        <x:v>312330</x:v>
      </x:c>
      <x:c r="D38" s="12" t="n">
        <x:f>IF(B38=0,0,C38/B38)</x:f>
        <x:v>0.2252943043453171</x:v>
      </x:c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3" customHeight="1">
      <x:c r="A39" s="1" t="str">
        <x:v>East</x:v>
      </x:c>
      <x:c r="B39" s="11" t="n">
        <x:f>SUMIFS('Orders'!$M$5:$M$1204,'Orders'!$D$5:$D$1204,A39)</x:f>
        <x:v>1243375</x:v>
      </x:c>
      <x:c r="C39" s="11" t="n">
        <x:f>SUMIFS('Orders'!$O$5:$O$1204,'Orders'!$D$5:$D$1204,A39)</x:f>
        <x:v>263155</x:v>
      </x:c>
      <x:c r="D39" s="12" t="n">
        <x:f>IF(B39=0,0,C39/B39)</x:f>
        <x:v>0.2116457223283402</x:v>
      </x:c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23" customHeight="1">
      <x:c r="A40" s="1" t="str">
        <x:v>Unknown</x:v>
      </x:c>
      <x:c r="B40" s="11" t="n">
        <x:f>SUMIFS('Orders'!$M$5:$M$1204,'Orders'!$D$5:$D$1204,A40)</x:f>
        <x:v>32520</x:v>
      </x:c>
      <x:c r="C40" s="11" t="n">
        <x:f>SUMIFS('Orders'!$O$5:$O$1204,'Orders'!$D$5:$D$1204,A40)</x:f>
        <x:v>9110</x:v>
      </x:c>
      <x:c r="D40" s="12" t="n">
        <x:f>IF(B40=0,0,C40/B40)</x:f>
        <x:v>0.2801353013530135</x:v>
      </x:c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 ht="26" customHeight="1">
      <x:c r="A43" s="6" t="str">
        <x:v>Discount</x:v>
      </x:c>
      <x:c r="B43" s="6" t="str">
        <x:v>Sales</x:v>
      </x:c>
      <x:c r="C43" s="6" t="str">
        <x:v>Profit</x:v>
      </x:c>
      <x:c r="D43" s="6" t="str">
        <x:v>Margin</x:v>
      </x:c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23" customHeight="1">
      <x:c r="A44" s="3" t="n">
        <x:v>0</x:v>
      </x:c>
      <x:c r="B44" s="11" t="n">
        <x:f>SUMIFS('Orders'!$M$5:$M$1204,'Orders'!$I$5:$I$1204,A44)</x:f>
        <x:v>1023500</x:v>
      </x:c>
      <x:c r="C44" s="11" t="n">
        <x:f>SUMIFS('Orders'!$O$5:$O$1204,'Orders'!$I$5:$I$1204,A44)</x:f>
        <x:v>343130</x:v>
      </x:c>
      <x:c r="D44" s="12" t="n">
        <x:f>IF(B44=0,0,C44/B44)</x:f>
        <x:v>0.3352515876893014</x:v>
      </x:c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 ht="23" customHeight="1">
      <x:c r="A45" s="3" t="n">
        <x:v>0.05</x:v>
      </x:c>
      <x:c r="B45" s="11" t="n">
        <x:f>SUMIFS('Orders'!$M$5:$M$1204,'Orders'!$I$5:$I$1204,A45)</x:f>
        <x:v>1028945</x:v>
      </x:c>
      <x:c r="C45" s="11" t="n">
        <x:f>SUMIFS('Orders'!$O$5:$O$1204,'Orders'!$I$5:$I$1204,A45)</x:f>
        <x:v>298825</x:v>
      </x:c>
      <x:c r="D45" s="12" t="n">
        <x:f>IF(B45=0,0,C45/B45)</x:f>
        <x:v>0.2904188270510086</x:v>
      </x:c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 ht="23" customHeight="1">
      <x:c r="A46" s="3" t="n">
        <x:v>0.1</x:v>
      </x:c>
      <x:c r="B46" s="11" t="n">
        <x:f>SUMIFS('Orders'!$M$5:$M$1204,'Orders'!$I$5:$I$1204,A46)</x:f>
        <x:v>988290</x:v>
      </x:c>
      <x:c r="C46" s="11" t="n">
        <x:f>SUMIFS('Orders'!$O$5:$O$1204,'Orders'!$I$5:$I$1204,A46)</x:f>
        <x:v>264430</x:v>
      </x:c>
      <x:c r="D46" s="12" t="n">
        <x:f>IF(B46=0,0,C46/B46)</x:f>
        <x:v>0.2675631646581469</x:v>
      </x:c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 ht="23" customHeight="1">
      <x:c r="A47" s="3" t="n">
        <x:v>0.15</x:v>
      </x:c>
      <x:c r="B47" s="11" t="n">
        <x:f>SUMIFS('Orders'!$M$5:$M$1204,'Orders'!$I$5:$I$1204,A47)</x:f>
        <x:v>972315</x:v>
      </x:c>
      <x:c r="C47" s="11" t="n">
        <x:f>SUMIFS('Orders'!$O$5:$O$1204,'Orders'!$I$5:$I$1204,A47)</x:f>
        <x:v>187435</x:v>
      </x:c>
      <x:c r="D47" s="12" t="n">
        <x:f>IF(B47=0,0,C47/B47)</x:f>
        <x:v>0.19277188976823353</x:v>
      </x:c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 ht="23" customHeight="1">
      <x:c r="A48" s="3" t="n">
        <x:v>0.25</x:v>
      </x:c>
      <x:c r="B48" s="11" t="n">
        <x:f>SUMIFS('Orders'!$M$5:$M$1204,'Orders'!$I$5:$I$1204,A48)</x:f>
        <x:v>855375</x:v>
      </x:c>
      <x:c r="C48" s="11" t="n">
        <x:f>SUMIFS('Orders'!$O$5:$O$1204,'Orders'!$I$5:$I$1204,A48)</x:f>
        <x:v>81865</x:v>
      </x:c>
      <x:c r="D48" s="12" t="n">
        <x:f>IF(B48=0,0,C48/B48)</x:f>
        <x:v>0.09570656144965659</x:v>
      </x:c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 ht="23" customHeight="1">
      <x:c r="A49" s="3" t="n">
        <x:v>0.35</x:v>
      </x:c>
      <x:c r="B49" s="11" t="n">
        <x:f>SUMIFS('Orders'!$M$5:$M$1204,'Orders'!$I$5:$I$1204,A49)</x:f>
        <x:v>621010</x:v>
      </x:c>
      <x:c r="C49" s="11" t="n">
        <x:f>SUMIFS('Orders'!$O$5:$O$1204,'Orders'!$I$5:$I$1204,A49)</x:f>
        <x:v>-4240</x:v>
      </x:c>
      <x:c r="D49" s="12" t="n">
        <x:f>IF(B49=0,0,C49/B49)</x:f>
        <x:v>-0.006827587317434502</x:v>
      </x:c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</x:sheetData>
  <x:conditionalFormatting sqref="C44:C49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66b24b15d51d44ed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1" t="str">
        <x:v>Source: synthetic orders generated with seed 42. Calendar 2025. Currency: INR.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1" t="str">
        <x:v>One product per order. Profit = sales less product cost and shipping; excludes overhead and taxes.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6" customHeight="1">
      <x:c r="A4" s="6" t="str">
        <x:v>Order ID</x:v>
      </x:c>
      <x:c r="B4" s="6" t="str">
        <x:v>Date</x:v>
      </x:c>
      <x:c r="C4" s="6" t="str">
        <x:v>Customer</x:v>
      </x:c>
      <x:c r="D4" s="6" t="str">
        <x:v>Region</x:v>
      </x:c>
      <x:c r="E4" s="6" t="str">
        <x:v>Category</x:v>
      </x:c>
      <x:c r="F4" s="6" t="str">
        <x:v>Product</x:v>
      </x:c>
      <x:c r="G4" s="6" t="str">
        <x:v>Quantity</x:v>
      </x:c>
      <x:c r="H4" s="6" t="str">
        <x:v>Unit price</x:v>
      </x:c>
      <x:c r="I4" s="6" t="str">
        <x:v>Discount</x:v>
      </x:c>
      <x:c r="J4" s="6" t="str">
        <x:v>Unit cost</x:v>
      </x:c>
      <x:c r="K4" s="6" t="str">
        <x:v>Shipping</x:v>
      </x:c>
      <x:c r="L4" s="6" t="str">
        <x:v>Gross sales</x:v>
      </x:c>
      <x:c r="M4" s="6" t="str">
        <x:v>Sales</x:v>
      </x:c>
      <x:c r="N4" s="6" t="str">
        <x:v>Product cost</x:v>
      </x:c>
      <x:c r="O4" s="6" t="str">
        <x:v>Profit</x:v>
      </x:c>
      <x:c r="P4" s="6" t="str">
        <x:v>Month</x:v>
      </x:c>
    </x:row>
    <x:row r="5">
      <x:c r="A5" s="1" t="str">
        <x:v>ORD-0001</x:v>
      </x:c>
      <x:c r="B5" s="4" t="d">
        <x:v>2025-09-09T00:00:00.000Z</x:v>
      </x:c>
      <x:c r="C5" s="1" t="str">
        <x:v>C-126</x:v>
      </x:c>
      <x:c r="D5" s="1" t="str">
        <x:v>Unknown</x:v>
      </x:c>
      <x:c r="E5" s="1" t="str">
        <x:v>Electronics</x:v>
      </x:c>
      <x:c r="F5" s="1" t="str">
        <x:v>Headphones</x:v>
      </x:c>
      <x:c r="G5" s="1" t="n">
        <x:v>2</x:v>
      </x:c>
      <x:c r="H5" s="2" t="n">
        <x:v>2200</x:v>
      </x:c>
      <x:c r="I5" s="3" t="n">
        <x:v>0.35</x:v>
      </x:c>
      <x:c r="J5" s="2" t="n">
        <x:v>1450</x:v>
      </x:c>
      <x:c r="K5" s="2" t="n">
        <x:v>120</x:v>
      </x:c>
      <x:c r="L5" s="2" t="n">
        <x:f>G5*H5</x:f>
        <x:v>4400</x:v>
      </x:c>
      <x:c r="M5" s="2" t="n">
        <x:f>ROUND(L5*(1-I5),2)</x:f>
        <x:v>2860</x:v>
      </x:c>
      <x:c r="N5" s="2" t="n">
        <x:f>G5*J5</x:f>
        <x:v>2900</x:v>
      </x:c>
      <x:c r="O5" s="2" t="n">
        <x:f>M5-N5-K5</x:f>
        <x:v>-160</x:v>
      </x:c>
      <x:c r="P5" s="1" t="str">
        <x:f>TEXT(B5,"yyyy-mm")</x:f>
        <x:v>2025-09</x:v>
      </x:c>
    </x:row>
    <x:row r="6">
      <x:c r="A6" s="1" t="str">
        <x:v>ORD-0002</x:v>
      </x:c>
      <x:c r="B6" s="4" t="d">
        <x:v>2025-02-19T00:00:00.000Z</x:v>
      </x:c>
      <x:c r="C6" s="1" t="str">
        <x:v>C-217</x:v>
      </x:c>
      <x:c r="D6" s="1" t="str">
        <x:v>Unknown</x:v>
      </x:c>
      <x:c r="E6" s="1" t="str">
        <x:v>Home</x:v>
      </x:c>
      <x:c r="F6" s="1" t="str">
        <x:v>Storage box</x:v>
      </x:c>
      <x:c r="G6" s="1" t="n">
        <x:v>1</x:v>
      </x:c>
      <x:c r="H6" s="2" t="n">
        <x:v>800</x:v>
      </x:c>
      <x:c r="I6" s="3" t="n">
        <x:v>0</x:v>
      </x:c>
      <x:c r="J6" s="2" t="n">
        <x:v>420</x:v>
      </x:c>
      <x:c r="K6" s="2" t="n">
        <x:v>50</x:v>
      </x:c>
      <x:c r="L6" s="2" t="n">
        <x:f>G6*H6</x:f>
        <x:v>800</x:v>
      </x:c>
      <x:c r="M6" s="2" t="n">
        <x:f>ROUND(L6*(1-I6),2)</x:f>
        <x:v>800</x:v>
      </x:c>
      <x:c r="N6" s="2" t="n">
        <x:f>G6*J6</x:f>
        <x:v>420</x:v>
      </x:c>
      <x:c r="O6" s="2" t="n">
        <x:f>M6-N6-K6</x:f>
        <x:v>330</x:v>
      </x:c>
      <x:c r="P6" s="1" t="str">
        <x:f>TEXT(B6,"yyyy-mm")</x:f>
        <x:v>2025-02</x:v>
      </x:c>
    </x:row>
    <x:row r="7">
      <x:c r="A7" s="1" t="str">
        <x:v>ORD-0003</x:v>
      </x:c>
      <x:c r="B7" s="4" t="d">
        <x:v>2025-04-01T00:00:00.000Z</x:v>
      </x:c>
      <x:c r="C7" s="1" t="str">
        <x:v>C-288</x:v>
      </x:c>
      <x:c r="D7" s="1" t="str">
        <x:v>Unknown</x:v>
      </x:c>
      <x:c r="E7" s="1" t="str">
        <x:v>Home</x:v>
      </x:c>
      <x:c r="F7" s="1" t="str">
        <x:v>Storage box</x:v>
      </x:c>
      <x:c r="G7" s="1" t="n">
        <x:v>4</x:v>
      </x:c>
      <x:c r="H7" s="2" t="n">
        <x:v>800</x:v>
      </x:c>
      <x:c r="I7" s="3" t="n">
        <x:v>0.25</x:v>
      </x:c>
      <x:c r="J7" s="2" t="n">
        <x:v>420</x:v>
      </x:c>
      <x:c r="K7" s="2" t="n">
        <x:v>50</x:v>
      </x:c>
      <x:c r="L7" s="2" t="n">
        <x:f>G7*H7</x:f>
        <x:v>3200</x:v>
      </x:c>
      <x:c r="M7" s="2" t="n">
        <x:f>ROUND(L7*(1-I7),2)</x:f>
        <x:v>2400</x:v>
      </x:c>
      <x:c r="N7" s="2" t="n">
        <x:f>G7*J7</x:f>
        <x:v>1680</x:v>
      </x:c>
      <x:c r="O7" s="2" t="n">
        <x:f>M7-N7-K7</x:f>
        <x:v>670</x:v>
      </x:c>
      <x:c r="P7" s="1" t="str">
        <x:f>TEXT(B7,"yyyy-mm")</x:f>
        <x:v>2025-04</x:v>
      </x:c>
    </x:row>
    <x:row r="8">
      <x:c r="A8" s="1" t="str">
        <x:v>ORD-0004</x:v>
      </x:c>
      <x:c r="B8" s="4" t="d">
        <x:v>2025-07-25T00:00:00.000Z</x:v>
      </x:c>
      <x:c r="C8" s="1" t="str">
        <x:v>C-082</x:v>
      </x:c>
      <x:c r="D8" s="1" t="str">
        <x:v>Unknown</x:v>
      </x:c>
      <x:c r="E8" s="1" t="str">
        <x:v>Fashion</x:v>
      </x:c>
      <x:c r="F8" s="1" t="str">
        <x:v>Sneakers</x:v>
      </x:c>
      <x:c r="G8" s="1" t="n">
        <x:v>3</x:v>
      </x:c>
      <x:c r="H8" s="2" t="n">
        <x:v>2400</x:v>
      </x:c>
      <x:c r="I8" s="3" t="n">
        <x:v>0</x:v>
      </x:c>
      <x:c r="J8" s="2" t="n">
        <x:v>1200</x:v>
      </x:c>
      <x:c r="K8" s="2" t="n">
        <x:v>80</x:v>
      </x:c>
      <x:c r="L8" s="2" t="n">
        <x:f>G8*H8</x:f>
        <x:v>7200</x:v>
      </x:c>
      <x:c r="M8" s="2" t="n">
        <x:f>ROUND(L8*(1-I8),2)</x:f>
        <x:v>7200</x:v>
      </x:c>
      <x:c r="N8" s="2" t="n">
        <x:f>G8*J8</x:f>
        <x:v>3600</x:v>
      </x:c>
      <x:c r="O8" s="2" t="n">
        <x:f>M8-N8-K8</x:f>
        <x:v>3520</x:v>
      </x:c>
      <x:c r="P8" s="1" t="str">
        <x:f>TEXT(B8,"yyyy-mm")</x:f>
        <x:v>2025-07</x:v>
      </x:c>
    </x:row>
    <x:row r="9">
      <x:c r="A9" s="1" t="str">
        <x:v>ORD-0005</x:v>
      </x:c>
      <x:c r="B9" s="4" t="d">
        <x:v>2025-03-03T00:00:00.000Z</x:v>
      </x:c>
      <x:c r="C9" s="1" t="str">
        <x:v>C-195</x:v>
      </x:c>
      <x:c r="D9" s="1" t="str">
        <x:v>Unknown</x:v>
      </x:c>
      <x:c r="E9" s="1" t="str">
        <x:v>Fashion</x:v>
      </x:c>
      <x:c r="F9" s="1" t="str">
        <x:v>Backpack</x:v>
      </x:c>
      <x:c r="G9" s="1" t="n">
        <x:v>3</x:v>
      </x:c>
      <x:c r="H9" s="2" t="n">
        <x:v>1300</x:v>
      </x:c>
      <x:c r="I9" s="3" t="n">
        <x:v>0</x:v>
      </x:c>
      <x:c r="J9" s="2" t="n">
        <x:v>650</x:v>
      </x:c>
      <x:c r="K9" s="2" t="n">
        <x:v>80</x:v>
      </x:c>
      <x:c r="L9" s="2" t="n">
        <x:f>G9*H9</x:f>
        <x:v>3900</x:v>
      </x:c>
      <x:c r="M9" s="2" t="n">
        <x:f>ROUND(L9*(1-I9),2)</x:f>
        <x:v>3900</x:v>
      </x:c>
      <x:c r="N9" s="2" t="n">
        <x:f>G9*J9</x:f>
        <x:v>1950</x:v>
      </x:c>
      <x:c r="O9" s="2" t="n">
        <x:f>M9-N9-K9</x:f>
        <x:v>1870</x:v>
      </x:c>
      <x:c r="P9" s="1" t="str">
        <x:f>TEXT(B9,"yyyy-mm")</x:f>
        <x:v>2025-03</x:v>
      </x:c>
    </x:row>
    <x:row r="10">
      <x:c r="A10" s="1" t="str">
        <x:v>ORD-0006</x:v>
      </x:c>
      <x:c r="B10" s="4" t="d">
        <x:v>2025-09-15T00:00:00.000Z</x:v>
      </x:c>
      <x:c r="C10" s="1" t="str">
        <x:v>C-275</x:v>
      </x:c>
      <x:c r="D10" s="1" t="str">
        <x:v>Unknown</x:v>
      </x:c>
      <x:c r="E10" s="1" t="str">
        <x:v>Electronics</x:v>
      </x:c>
      <x:c r="F10" s="1" t="str">
        <x:v>Headphones</x:v>
      </x:c>
      <x:c r="G10" s="1" t="n">
        <x:v>4</x:v>
      </x:c>
      <x:c r="H10" s="2" t="n">
        <x:v>2200</x:v>
      </x:c>
      <x:c r="I10" s="3" t="n">
        <x:v>0.35</x:v>
      </x:c>
      <x:c r="J10" s="2" t="n">
        <x:v>1450</x:v>
      </x:c>
      <x:c r="K10" s="2" t="n">
        <x:v>50</x:v>
      </x:c>
      <x:c r="L10" s="2" t="n">
        <x:f>G10*H10</x:f>
        <x:v>8800</x:v>
      </x:c>
      <x:c r="M10" s="2" t="n">
        <x:f>ROUND(L10*(1-I10),2)</x:f>
        <x:v>5720</x:v>
      </x:c>
      <x:c r="N10" s="2" t="n">
        <x:f>G10*J10</x:f>
        <x:v>5800</x:v>
      </x:c>
      <x:c r="O10" s="2" t="n">
        <x:f>M10-N10-K10</x:f>
        <x:v>-130</x:v>
      </x:c>
      <x:c r="P10" s="1" t="str">
        <x:f>TEXT(B10,"yyyy-mm")</x:f>
        <x:v>2025-09</x:v>
      </x:c>
    </x:row>
    <x:row r="11">
      <x:c r="A11" s="1" t="str">
        <x:v>ORD-0007</x:v>
      </x:c>
      <x:c r="B11" s="4" t="d">
        <x:v>2025-08-07T00:00:00.000Z</x:v>
      </x:c>
      <x:c r="C11" s="1" t="str">
        <x:v>C-036</x:v>
      </x:c>
      <x:c r="D11" s="1" t="str">
        <x:v>Unknown</x:v>
      </x:c>
      <x:c r="E11" s="1" t="str">
        <x:v>Fashion</x:v>
      </x:c>
      <x:c r="F11" s="1" t="str">
        <x:v>Backpack</x:v>
      </x:c>
      <x:c r="G11" s="1" t="n">
        <x:v>2</x:v>
      </x:c>
      <x:c r="H11" s="2" t="n">
        <x:v>1300</x:v>
      </x:c>
      <x:c r="I11" s="3" t="n">
        <x:v>0.25</x:v>
      </x:c>
      <x:c r="J11" s="2" t="n">
        <x:v>650</x:v>
      </x:c>
      <x:c r="K11" s="2" t="n">
        <x:v>80</x:v>
      </x:c>
      <x:c r="L11" s="2" t="n">
        <x:f>G11*H11</x:f>
        <x:v>2600</x:v>
      </x:c>
      <x:c r="M11" s="2" t="n">
        <x:f>ROUND(L11*(1-I11),2)</x:f>
        <x:v>1950</x:v>
      </x:c>
      <x:c r="N11" s="2" t="n">
        <x:f>G11*J11</x:f>
        <x:v>1300</x:v>
      </x:c>
      <x:c r="O11" s="2" t="n">
        <x:f>M11-N11-K11</x:f>
        <x:v>570</x:v>
      </x:c>
      <x:c r="P11" s="1" t="str">
        <x:f>TEXT(B11,"yyyy-mm")</x:f>
        <x:v>2025-08</x:v>
      </x:c>
    </x:row>
    <x:row r="12">
      <x:c r="A12" s="1" t="str">
        <x:v>ORD-0008</x:v>
      </x:c>
      <x:c r="B12" s="4" t="d">
        <x:v>2025-12-13T00:00:00.000Z</x:v>
      </x:c>
      <x:c r="C12" s="1" t="str">
        <x:v>C-143</x:v>
      </x:c>
      <x:c r="D12" s="1" t="str">
        <x:v>Unknown</x:v>
      </x:c>
      <x:c r="E12" s="1" t="str">
        <x:v>Fashion</x:v>
      </x:c>
      <x:c r="F12" s="1" t="str">
        <x:v>T-shirt</x:v>
      </x:c>
      <x:c r="G12" s="1" t="n">
        <x:v>3</x:v>
      </x:c>
      <x:c r="H12" s="2" t="n">
        <x:v>700</x:v>
      </x:c>
      <x:c r="I12" s="3" t="n">
        <x:v>0</x:v>
      </x:c>
      <x:c r="J12" s="2" t="n">
        <x:v>300</x:v>
      </x:c>
      <x:c r="K12" s="2" t="n">
        <x:v>50</x:v>
      </x:c>
      <x:c r="L12" s="2" t="n">
        <x:f>G12*H12</x:f>
        <x:v>2100</x:v>
      </x:c>
      <x:c r="M12" s="2" t="n">
        <x:f>ROUND(L12*(1-I12),2)</x:f>
        <x:v>2100</x:v>
      </x:c>
      <x:c r="N12" s="2" t="n">
        <x:f>G12*J12</x:f>
        <x:v>900</x:v>
      </x:c>
      <x:c r="O12" s="2" t="n">
        <x:f>M12-N12-K12</x:f>
        <x:v>1150</x:v>
      </x:c>
      <x:c r="P12" s="1" t="str">
        <x:f>TEXT(B12,"yyyy-mm")</x:f>
        <x:v>2025-12</x:v>
      </x:c>
    </x:row>
    <x:row r="13">
      <x:c r="A13" s="1" t="str">
        <x:v>ORD-0009</x:v>
      </x:c>
      <x:c r="B13" s="4" t="d">
        <x:v>2025-06-09T00:00:00.000Z</x:v>
      </x:c>
      <x:c r="C13" s="1" t="str">
        <x:v>C-037</x:v>
      </x:c>
      <x:c r="D13" s="1" t="str">
        <x:v>Unknown</x:v>
      </x:c>
      <x:c r="E13" s="1" t="str">
        <x:v>Fashion</x:v>
      </x:c>
      <x:c r="F13" s="1" t="str">
        <x:v>T-shirt</x:v>
      </x:c>
      <x:c r="G13" s="1" t="n">
        <x:v>2</x:v>
      </x:c>
      <x:c r="H13" s="2" t="n">
        <x:v>700</x:v>
      </x:c>
      <x:c r="I13" s="3" t="n">
        <x:v>0.35</x:v>
      </x:c>
      <x:c r="J13" s="2" t="n">
        <x:v>300</x:v>
      </x:c>
      <x:c r="K13" s="2" t="n">
        <x:v>50</x:v>
      </x:c>
      <x:c r="L13" s="2" t="n">
        <x:f>G13*H13</x:f>
        <x:v>1400</x:v>
      </x:c>
      <x:c r="M13" s="2" t="n">
        <x:f>ROUND(L13*(1-I13),2)</x:f>
        <x:v>910</x:v>
      </x:c>
      <x:c r="N13" s="2" t="n">
        <x:f>G13*J13</x:f>
        <x:v>600</x:v>
      </x:c>
      <x:c r="O13" s="2" t="n">
        <x:f>M13-N13-K13</x:f>
        <x:v>260</x:v>
      </x:c>
      <x:c r="P13" s="1" t="str">
        <x:f>TEXT(B13,"yyyy-mm")</x:f>
        <x:v>2025-06</x:v>
      </x:c>
    </x:row>
    <x:row r="14">
      <x:c r="A14" s="1" t="str">
        <x:v>ORD-0010</x:v>
      </x:c>
      <x:c r="B14" s="4" t="d">
        <x:v>2025-07-23T00:00:00.000Z</x:v>
      </x:c>
      <x:c r="C14" s="1" t="str">
        <x:v>C-286</x:v>
      </x:c>
      <x:c r="D14" s="1" t="str">
        <x:v>Unknown</x:v>
      </x:c>
      <x:c r="E14" s="1" t="str">
        <x:v>Fashion</x:v>
      </x:c>
      <x:c r="F14" s="1" t="str">
        <x:v>Sneakers</x:v>
      </x:c>
      <x:c r="G14" s="1" t="n">
        <x:v>3</x:v>
      </x:c>
      <x:c r="H14" s="2" t="n">
        <x:v>2400</x:v>
      </x:c>
      <x:c r="I14" s="3" t="n">
        <x:v>0.35</x:v>
      </x:c>
      <x:c r="J14" s="2" t="n">
        <x:v>1200</x:v>
      </x:c>
      <x:c r="K14" s="2" t="n">
        <x:v>50</x:v>
      </x:c>
      <x:c r="L14" s="2" t="n">
        <x:f>G14*H14</x:f>
        <x:v>7200</x:v>
      </x:c>
      <x:c r="M14" s="2" t="n">
        <x:f>ROUND(L14*(1-I14),2)</x:f>
        <x:v>4680</x:v>
      </x:c>
      <x:c r="N14" s="2" t="n">
        <x:f>G14*J14</x:f>
        <x:v>3600</x:v>
      </x:c>
      <x:c r="O14" s="2" t="n">
        <x:f>M14-N14-K14</x:f>
        <x:v>1030</x:v>
      </x:c>
      <x:c r="P14" s="1" t="str">
        <x:f>TEXT(B14,"yyyy-mm")</x:f>
        <x:v>2025-07</x:v>
      </x:c>
    </x:row>
    <x:row r="15">
      <x:c r="A15" s="1" t="str">
        <x:v>ORD-0011</x:v>
      </x:c>
      <x:c r="B15" s="4" t="d">
        <x:v>2025-04-13T00:00:00.000Z</x:v>
      </x:c>
      <x:c r="C15" s="1" t="str">
        <x:v>C-138</x:v>
      </x:c>
      <x:c r="D15" s="1" t="str">
        <x:v>North</x:v>
      </x:c>
      <x:c r="E15" s="1" t="str">
        <x:v>Electronics</x:v>
      </x:c>
      <x:c r="F15" s="1" t="str">
        <x:v>Headphones</x:v>
      </x:c>
      <x:c r="G15" s="1" t="n">
        <x:v>2</x:v>
      </x:c>
      <x:c r="H15" s="2" t="n">
        <x:v>2200</x:v>
      </x:c>
      <x:c r="I15" s="3" t="n">
        <x:v>0.1</x:v>
      </x:c>
      <x:c r="J15" s="2" t="n">
        <x:v>1450</x:v>
      </x:c>
      <x:c r="K15" s="2" t="n">
        <x:v>120</x:v>
      </x:c>
      <x:c r="L15" s="2" t="n">
        <x:f>G15*H15</x:f>
        <x:v>4400</x:v>
      </x:c>
      <x:c r="M15" s="2" t="n">
        <x:f>ROUND(L15*(1-I15),2)</x:f>
        <x:v>3960</x:v>
      </x:c>
      <x:c r="N15" s="2" t="n">
        <x:f>G15*J15</x:f>
        <x:v>2900</x:v>
      </x:c>
      <x:c r="O15" s="2" t="n">
        <x:f>M15-N15-K15</x:f>
        <x:v>940</x:v>
      </x:c>
      <x:c r="P15" s="1" t="str">
        <x:f>TEXT(B15,"yyyy-mm")</x:f>
        <x:v>2025-04</x:v>
      </x:c>
    </x:row>
    <x:row r="16">
      <x:c r="A16" s="1" t="str">
        <x:v>ORD-0012</x:v>
      </x:c>
      <x:c r="B16" s="4" t="d">
        <x:v>2025-11-21T00:00:00.000Z</x:v>
      </x:c>
      <x:c r="C16" s="1" t="str">
        <x:v>C-256</x:v>
      </x:c>
      <x:c r="D16" s="1" t="str">
        <x:v>West</x:v>
      </x:c>
      <x:c r="E16" s="1" t="str">
        <x:v>Fashion</x:v>
      </x:c>
      <x:c r="F16" s="1" t="str">
        <x:v>Backpack</x:v>
      </x:c>
      <x:c r="G16" s="1" t="n">
        <x:v>4</x:v>
      </x:c>
      <x:c r="H16" s="2" t="n">
        <x:v>1300</x:v>
      </x:c>
      <x:c r="I16" s="3" t="n">
        <x:v>0.05</x:v>
      </x:c>
      <x:c r="J16" s="2" t="n">
        <x:v>650</x:v>
      </x:c>
      <x:c r="K16" s="2" t="n">
        <x:v>50</x:v>
      </x:c>
      <x:c r="L16" s="2" t="n">
        <x:f>G16*H16</x:f>
        <x:v>5200</x:v>
      </x:c>
      <x:c r="M16" s="2" t="n">
        <x:f>ROUND(L16*(1-I16),2)</x:f>
        <x:v>4940</x:v>
      </x:c>
      <x:c r="N16" s="2" t="n">
        <x:f>G16*J16</x:f>
        <x:v>2600</x:v>
      </x:c>
      <x:c r="O16" s="2" t="n">
        <x:f>M16-N16-K16</x:f>
        <x:v>2290</x:v>
      </x:c>
      <x:c r="P16" s="1" t="str">
        <x:f>TEXT(B16,"yyyy-mm")</x:f>
        <x:v>2025-11</x:v>
      </x:c>
    </x:row>
    <x:row r="17">
      <x:c r="A17" s="1" t="str">
        <x:v>ORD-0013</x:v>
      </x:c>
      <x:c r="B17" s="4" t="d">
        <x:v>2025-04-18T00:00:00.000Z</x:v>
      </x:c>
      <x:c r="C17" s="1" t="str">
        <x:v>C-276</x:v>
      </x:c>
      <x:c r="D17" s="1" t="str">
        <x:v>East</x:v>
      </x:c>
      <x:c r="E17" s="1" t="str">
        <x:v>Fashion</x:v>
      </x:c>
      <x:c r="F17" s="1" t="str">
        <x:v>T-shirt</x:v>
      </x:c>
      <x:c r="G17" s="1" t="n">
        <x:v>4</x:v>
      </x:c>
      <x:c r="H17" s="2" t="n">
        <x:v>700</x:v>
      </x:c>
      <x:c r="I17" s="3" t="n">
        <x:v>0.35</x:v>
      </x:c>
      <x:c r="J17" s="2" t="n">
        <x:v>300</x:v>
      </x:c>
      <x:c r="K17" s="2" t="n">
        <x:v>120</x:v>
      </x:c>
      <x:c r="L17" s="2" t="n">
        <x:f>G17*H17</x:f>
        <x:v>2800</x:v>
      </x:c>
      <x:c r="M17" s="2" t="n">
        <x:f>ROUND(L17*(1-I17),2)</x:f>
        <x:v>1820</x:v>
      </x:c>
      <x:c r="N17" s="2" t="n">
        <x:f>G17*J17</x:f>
        <x:v>1200</x:v>
      </x:c>
      <x:c r="O17" s="2" t="n">
        <x:f>M17-N17-K17</x:f>
        <x:v>500</x:v>
      </x:c>
      <x:c r="P17" s="1" t="str">
        <x:f>TEXT(B17,"yyyy-mm")</x:f>
        <x:v>2025-04</x:v>
      </x:c>
    </x:row>
    <x:row r="18">
      <x:c r="A18" s="1" t="str">
        <x:v>ORD-0014</x:v>
      </x:c>
      <x:c r="B18" s="4" t="d">
        <x:v>2025-06-17T00:00:00.000Z</x:v>
      </x:c>
      <x:c r="C18" s="1" t="str">
        <x:v>C-253</x:v>
      </x:c>
      <x:c r="D18" s="1" t="str">
        <x:v>North</x:v>
      </x:c>
      <x:c r="E18" s="1" t="str">
        <x:v>Fashion</x:v>
      </x:c>
      <x:c r="F18" s="1" t="str">
        <x:v>T-shirt</x:v>
      </x:c>
      <x:c r="G18" s="1" t="n">
        <x:v>1</x:v>
      </x:c>
      <x:c r="H18" s="2" t="n">
        <x:v>700</x:v>
      </x:c>
      <x:c r="I18" s="3" t="n">
        <x:v>0.05</x:v>
      </x:c>
      <x:c r="J18" s="2" t="n">
        <x:v>300</x:v>
      </x:c>
      <x:c r="K18" s="2" t="n">
        <x:v>50</x:v>
      </x:c>
      <x:c r="L18" s="2" t="n">
        <x:f>G18*H18</x:f>
        <x:v>700</x:v>
      </x:c>
      <x:c r="M18" s="2" t="n">
        <x:f>ROUND(L18*(1-I18),2)</x:f>
        <x:v>665</x:v>
      </x:c>
      <x:c r="N18" s="2" t="n">
        <x:f>G18*J18</x:f>
        <x:v>300</x:v>
      </x:c>
      <x:c r="O18" s="2" t="n">
        <x:f>M18-N18-K18</x:f>
        <x:v>315</x:v>
      </x:c>
      <x:c r="P18" s="1" t="str">
        <x:f>TEXT(B18,"yyyy-mm")</x:f>
        <x:v>2025-06</x:v>
      </x:c>
    </x:row>
    <x:row r="19">
      <x:c r="A19" s="1" t="str">
        <x:v>ORD-0015</x:v>
      </x:c>
      <x:c r="B19" s="4" t="d">
        <x:v>2025-03-14T00:00:00.000Z</x:v>
      </x:c>
      <x:c r="C19" s="1" t="str">
        <x:v>C-033</x:v>
      </x:c>
      <x:c r="D19" s="1" t="str">
        <x:v>West</x:v>
      </x:c>
      <x:c r="E19" s="1" t="str">
        <x:v>Electronics</x:v>
      </x:c>
      <x:c r="F19" s="1" t="str">
        <x:v>Smartwatch</x:v>
      </x:c>
      <x:c r="G19" s="1" t="n">
        <x:v>4</x:v>
      </x:c>
      <x:c r="H19" s="2" t="n">
        <x:v>4200</x:v>
      </x:c>
      <x:c r="I19" s="3" t="n">
        <x:v>0.35</x:v>
      </x:c>
      <x:c r="J19" s="2" t="n">
        <x:v>3000</x:v>
      </x:c>
      <x:c r="K19" s="2" t="n">
        <x:v>120</x:v>
      </x:c>
      <x:c r="L19" s="2" t="n">
        <x:f>G19*H19</x:f>
        <x:v>16800</x:v>
      </x:c>
      <x:c r="M19" s="2" t="n">
        <x:f>ROUND(L19*(1-I19),2)</x:f>
        <x:v>10920</x:v>
      </x:c>
      <x:c r="N19" s="2" t="n">
        <x:f>G19*J19</x:f>
        <x:v>12000</x:v>
      </x:c>
      <x:c r="O19" s="2" t="n">
        <x:f>M19-N19-K19</x:f>
        <x:v>-1200</x:v>
      </x:c>
      <x:c r="P19" s="1" t="str">
        <x:f>TEXT(B19,"yyyy-mm")</x:f>
        <x:v>2025-03</x:v>
      </x:c>
    </x:row>
    <x:row r="20">
      <x:c r="A20" s="1" t="str">
        <x:v>ORD-0016</x:v>
      </x:c>
      <x:c r="B20" s="4" t="d">
        <x:v>2025-12-18T00:00:00.000Z</x:v>
      </x:c>
      <x:c r="C20" s="1" t="str">
        <x:v>C-006</x:v>
      </x:c>
      <x:c r="D20" s="1" t="str">
        <x:v>North</x:v>
      </x:c>
      <x:c r="E20" s="1" t="str">
        <x:v>Home</x:v>
      </x:c>
      <x:c r="F20" s="1" t="str">
        <x:v>Storage box</x:v>
      </x:c>
      <x:c r="G20" s="1" t="n">
        <x:v>3</x:v>
      </x:c>
      <x:c r="H20" s="2" t="n">
        <x:v>800</x:v>
      </x:c>
      <x:c r="I20" s="3" t="n">
        <x:v>0.1</x:v>
      </x:c>
      <x:c r="J20" s="2" t="n">
        <x:v>420</x:v>
      </x:c>
      <x:c r="K20" s="2" t="n">
        <x:v>120</x:v>
      </x:c>
      <x:c r="L20" s="2" t="n">
        <x:f>G20*H20</x:f>
        <x:v>2400</x:v>
      </x:c>
      <x:c r="M20" s="2" t="n">
        <x:f>ROUND(L20*(1-I20),2)</x:f>
        <x:v>2160</x:v>
      </x:c>
      <x:c r="N20" s="2" t="n">
        <x:f>G20*J20</x:f>
        <x:v>1260</x:v>
      </x:c>
      <x:c r="O20" s="2" t="n">
        <x:f>M20-N20-K20</x:f>
        <x:v>780</x:v>
      </x:c>
      <x:c r="P20" s="1" t="str">
        <x:f>TEXT(B20,"yyyy-mm")</x:f>
        <x:v>2025-12</x:v>
      </x:c>
    </x:row>
    <x:row r="21">
      <x:c r="A21" s="1" t="str">
        <x:v>ORD-0017</x:v>
      </x:c>
      <x:c r="B21" s="4" t="d">
        <x:v>2025-06-06T00:00:00.000Z</x:v>
      </x:c>
      <x:c r="C21" s="1" t="str">
        <x:v>C-233</x:v>
      </x:c>
      <x:c r="D21" s="1" t="str">
        <x:v>North</x:v>
      </x:c>
      <x:c r="E21" s="1" t="str">
        <x:v>Fashion</x:v>
      </x:c>
      <x:c r="F21" s="1" t="str">
        <x:v>Sneakers</x:v>
      </x:c>
      <x:c r="G21" s="1" t="n">
        <x:v>3</x:v>
      </x:c>
      <x:c r="H21" s="2" t="n">
        <x:v>2400</x:v>
      </x:c>
      <x:c r="I21" s="3" t="n">
        <x:v>0.15</x:v>
      </x:c>
      <x:c r="J21" s="2" t="n">
        <x:v>1200</x:v>
      </x:c>
      <x:c r="K21" s="2" t="n">
        <x:v>120</x:v>
      </x:c>
      <x:c r="L21" s="2" t="n">
        <x:f>G21*H21</x:f>
        <x:v>7200</x:v>
      </x:c>
      <x:c r="M21" s="2" t="n">
        <x:f>ROUND(L21*(1-I21),2)</x:f>
        <x:v>6120</x:v>
      </x:c>
      <x:c r="N21" s="2" t="n">
        <x:f>G21*J21</x:f>
        <x:v>3600</x:v>
      </x:c>
      <x:c r="O21" s="2" t="n">
        <x:f>M21-N21-K21</x:f>
        <x:v>2400</x:v>
      </x:c>
      <x:c r="P21" s="1" t="str">
        <x:f>TEXT(B21,"yyyy-mm")</x:f>
        <x:v>2025-06</x:v>
      </x:c>
    </x:row>
    <x:row r="22">
      <x:c r="A22" s="1" t="str">
        <x:v>ORD-0018</x:v>
      </x:c>
      <x:c r="B22" s="4" t="d">
        <x:v>2025-10-28T00:00:00.000Z</x:v>
      </x:c>
      <x:c r="C22" s="1" t="str">
        <x:v>C-153</x:v>
      </x:c>
      <x:c r="D22" s="1" t="str">
        <x:v>South</x:v>
      </x:c>
      <x:c r="E22" s="1" t="str">
        <x:v>Home</x:v>
      </x:c>
      <x:c r="F22" s="1" t="str">
        <x:v>Storage box</x:v>
      </x:c>
      <x:c r="G22" s="1" t="n">
        <x:v>2</x:v>
      </x:c>
      <x:c r="H22" s="2" t="n">
        <x:v>800</x:v>
      </x:c>
      <x:c r="I22" s="3" t="n">
        <x:v>0</x:v>
      </x:c>
      <x:c r="J22" s="2" t="n">
        <x:v>420</x:v>
      </x:c>
      <x:c r="K22" s="2" t="n">
        <x:v>80</x:v>
      </x:c>
      <x:c r="L22" s="2" t="n">
        <x:f>G22*H22</x:f>
        <x:v>1600</x:v>
      </x:c>
      <x:c r="M22" s="2" t="n">
        <x:f>ROUND(L22*(1-I22),2)</x:f>
        <x:v>1600</x:v>
      </x:c>
      <x:c r="N22" s="2" t="n">
        <x:f>G22*J22</x:f>
        <x:v>840</x:v>
      </x:c>
      <x:c r="O22" s="2" t="n">
        <x:f>M22-N22-K22</x:f>
        <x:v>680</x:v>
      </x:c>
      <x:c r="P22" s="1" t="str">
        <x:f>TEXT(B22,"yyyy-mm")</x:f>
        <x:v>2025-10</x:v>
      </x:c>
    </x:row>
    <x:row r="23">
      <x:c r="A23" s="1" t="str">
        <x:v>ORD-0019</x:v>
      </x:c>
      <x:c r="B23" s="4" t="d">
        <x:v>2025-10-30T00:00:00.000Z</x:v>
      </x:c>
      <x:c r="C23" s="1" t="str">
        <x:v>C-001</x:v>
      </x:c>
      <x:c r="D23" s="1" t="str">
        <x:v>East</x:v>
      </x:c>
      <x:c r="E23" s="1" t="str">
        <x:v>Home</x:v>
      </x:c>
      <x:c r="F23" s="1" t="str">
        <x:v>Storage box</x:v>
      </x:c>
      <x:c r="G23" s="1" t="n">
        <x:v>4</x:v>
      </x:c>
      <x:c r="H23" s="2" t="n">
        <x:v>800</x:v>
      </x:c>
      <x:c r="I23" s="3" t="n">
        <x:v>0.25</x:v>
      </x:c>
      <x:c r="J23" s="2" t="n">
        <x:v>420</x:v>
      </x:c>
      <x:c r="K23" s="2" t="n">
        <x:v>50</x:v>
      </x:c>
      <x:c r="L23" s="2" t="n">
        <x:f>G23*H23</x:f>
        <x:v>3200</x:v>
      </x:c>
      <x:c r="M23" s="2" t="n">
        <x:f>ROUND(L23*(1-I23),2)</x:f>
        <x:v>2400</x:v>
      </x:c>
      <x:c r="N23" s="2" t="n">
        <x:f>G23*J23</x:f>
        <x:v>1680</x:v>
      </x:c>
      <x:c r="O23" s="2" t="n">
        <x:f>M23-N23-K23</x:f>
        <x:v>670</x:v>
      </x:c>
      <x:c r="P23" s="1" t="str">
        <x:f>TEXT(B23,"yyyy-mm")</x:f>
        <x:v>2025-10</x:v>
      </x:c>
    </x:row>
    <x:row r="24">
      <x:c r="A24" s="1" t="str">
        <x:v>ORD-0020</x:v>
      </x:c>
      <x:c r="B24" s="4" t="d">
        <x:v>2025-02-08T00:00:00.000Z</x:v>
      </x:c>
      <x:c r="C24" s="1" t="str">
        <x:v>C-030</x:v>
      </x:c>
      <x:c r="D24" s="1" t="str">
        <x:v>South</x:v>
      </x:c>
      <x:c r="E24" s="1" t="str">
        <x:v>Fashion</x:v>
      </x:c>
      <x:c r="F24" s="1" t="str">
        <x:v>Backpack</x:v>
      </x:c>
      <x:c r="G24" s="1" t="n">
        <x:v>1</x:v>
      </x:c>
      <x:c r="H24" s="2" t="n">
        <x:v>1300</x:v>
      </x:c>
      <x:c r="I24" s="3" t="n">
        <x:v>0.1</x:v>
      </x:c>
      <x:c r="J24" s="2" t="n">
        <x:v>650</x:v>
      </x:c>
      <x:c r="K24" s="2" t="n">
        <x:v>50</x:v>
      </x:c>
      <x:c r="L24" s="2" t="n">
        <x:f>G24*H24</x:f>
        <x:v>1300</x:v>
      </x:c>
      <x:c r="M24" s="2" t="n">
        <x:f>ROUND(L24*(1-I24),2)</x:f>
        <x:v>1170</x:v>
      </x:c>
      <x:c r="N24" s="2" t="n">
        <x:f>G24*J24</x:f>
        <x:v>650</x:v>
      </x:c>
      <x:c r="O24" s="2" t="n">
        <x:f>M24-N24-K24</x:f>
        <x:v>470</x:v>
      </x:c>
      <x:c r="P24" s="1" t="str">
        <x:f>TEXT(B24,"yyyy-mm")</x:f>
        <x:v>2025-02</x:v>
      </x:c>
    </x:row>
    <x:row r="25">
      <x:c r="A25" s="1" t="str">
        <x:v>ORD-0021</x:v>
      </x:c>
      <x:c r="B25" s="4" t="d">
        <x:v>2025-10-25T00:00:00.000Z</x:v>
      </x:c>
      <x:c r="C25" s="1" t="str">
        <x:v>C-065</x:v>
      </x:c>
      <x:c r="D25" s="1" t="str">
        <x:v>South</x:v>
      </x:c>
      <x:c r="E25" s="1" t="str">
        <x:v>Electronics</x:v>
      </x:c>
      <x:c r="F25" s="1" t="str">
        <x:v>Keyboard</x:v>
      </x:c>
      <x:c r="G25" s="1" t="n">
        <x:v>4</x:v>
      </x:c>
      <x:c r="H25" s="2" t="n">
        <x:v>1500</x:v>
      </x:c>
      <x:c r="I25" s="3" t="n">
        <x:v>0.25</x:v>
      </x:c>
      <x:c r="J25" s="2" t="n">
        <x:v>900</x:v>
      </x:c>
      <x:c r="K25" s="2" t="n">
        <x:v>120</x:v>
      </x:c>
      <x:c r="L25" s="2" t="n">
        <x:f>G25*H25</x:f>
        <x:v>6000</x:v>
      </x:c>
      <x:c r="M25" s="2" t="n">
        <x:f>ROUND(L25*(1-I25),2)</x:f>
        <x:v>4500</x:v>
      </x:c>
      <x:c r="N25" s="2" t="n">
        <x:f>G25*J25</x:f>
        <x:v>3600</x:v>
      </x:c>
      <x:c r="O25" s="2" t="n">
        <x:f>M25-N25-K25</x:f>
        <x:v>780</x:v>
      </x:c>
      <x:c r="P25" s="1" t="str">
        <x:f>TEXT(B25,"yyyy-mm")</x:f>
        <x:v>2025-10</x:v>
      </x:c>
    </x:row>
    <x:row r="26">
      <x:c r="A26" s="1" t="str">
        <x:v>ORD-0022</x:v>
      </x:c>
      <x:c r="B26" s="4" t="d">
        <x:v>2025-03-14T00:00:00.000Z</x:v>
      </x:c>
      <x:c r="C26" s="1" t="str">
        <x:v>C-109</x:v>
      </x:c>
      <x:c r="D26" s="1" t="str">
        <x:v>South</x:v>
      </x:c>
      <x:c r="E26" s="1" t="str">
        <x:v>Home</x:v>
      </x:c>
      <x:c r="F26" s="1" t="str">
        <x:v>Storage box</x:v>
      </x:c>
      <x:c r="G26" s="1" t="n">
        <x:v>3</x:v>
      </x:c>
      <x:c r="H26" s="2" t="n">
        <x:v>800</x:v>
      </x:c>
      <x:c r="I26" s="3" t="n">
        <x:v>0.25</x:v>
      </x:c>
      <x:c r="J26" s="2" t="n">
        <x:v>420</x:v>
      </x:c>
      <x:c r="K26" s="2" t="n">
        <x:v>80</x:v>
      </x:c>
      <x:c r="L26" s="2" t="n">
        <x:f>G26*H26</x:f>
        <x:v>2400</x:v>
      </x:c>
      <x:c r="M26" s="2" t="n">
        <x:f>ROUND(L26*(1-I26),2)</x:f>
        <x:v>1800</x:v>
      </x:c>
      <x:c r="N26" s="2" t="n">
        <x:f>G26*J26</x:f>
        <x:v>1260</x:v>
      </x:c>
      <x:c r="O26" s="2" t="n">
        <x:f>M26-N26-K26</x:f>
        <x:v>460</x:v>
      </x:c>
      <x:c r="P26" s="1" t="str">
        <x:f>TEXT(B26,"yyyy-mm")</x:f>
        <x:v>2025-03</x:v>
      </x:c>
    </x:row>
    <x:row r="27">
      <x:c r="A27" s="1" t="str">
        <x:v>ORD-0023</x:v>
      </x:c>
      <x:c r="B27" s="4" t="d">
        <x:v>2025-12-29T00:00:00.000Z</x:v>
      </x:c>
      <x:c r="C27" s="1" t="str">
        <x:v>C-265</x:v>
      </x:c>
      <x:c r="D27" s="1" t="str">
        <x:v>West</x:v>
      </x:c>
      <x:c r="E27" s="1" t="str">
        <x:v>Fashion</x:v>
      </x:c>
      <x:c r="F27" s="1" t="str">
        <x:v>Backpack</x:v>
      </x:c>
      <x:c r="G27" s="1" t="n">
        <x:v>1</x:v>
      </x:c>
      <x:c r="H27" s="2" t="n">
        <x:v>1300</x:v>
      </x:c>
      <x:c r="I27" s="3" t="n">
        <x:v>0.15</x:v>
      </x:c>
      <x:c r="J27" s="2" t="n">
        <x:v>650</x:v>
      </x:c>
      <x:c r="K27" s="2" t="n">
        <x:v>50</x:v>
      </x:c>
      <x:c r="L27" s="2" t="n">
        <x:f>G27*H27</x:f>
        <x:v>1300</x:v>
      </x:c>
      <x:c r="M27" s="2" t="n">
        <x:f>ROUND(L27*(1-I27),2)</x:f>
        <x:v>1105</x:v>
      </x:c>
      <x:c r="N27" s="2" t="n">
        <x:f>G27*J27</x:f>
        <x:v>650</x:v>
      </x:c>
      <x:c r="O27" s="2" t="n">
        <x:f>M27-N27-K27</x:f>
        <x:v>405</x:v>
      </x:c>
      <x:c r="P27" s="1" t="str">
        <x:f>TEXT(B27,"yyyy-mm")</x:f>
        <x:v>2025-12</x:v>
      </x:c>
    </x:row>
    <x:row r="28">
      <x:c r="A28" s="1" t="str">
        <x:v>ORD-0024</x:v>
      </x:c>
      <x:c r="B28" s="4" t="d">
        <x:v>2025-04-19T00:00:00.000Z</x:v>
      </x:c>
      <x:c r="C28" s="1" t="str">
        <x:v>C-284</x:v>
      </x:c>
      <x:c r="D28" s="1" t="str">
        <x:v>South</x:v>
      </x:c>
      <x:c r="E28" s="1" t="str">
        <x:v>Fashion</x:v>
      </x:c>
      <x:c r="F28" s="1" t="str">
        <x:v>Backpack</x:v>
      </x:c>
      <x:c r="G28" s="1" t="n">
        <x:v>2</x:v>
      </x:c>
      <x:c r="H28" s="2" t="n">
        <x:v>1300</x:v>
      </x:c>
      <x:c r="I28" s="3" t="n">
        <x:v>0</x:v>
      </x:c>
      <x:c r="J28" s="2" t="n">
        <x:v>650</x:v>
      </x:c>
      <x:c r="K28" s="2" t="n">
        <x:v>50</x:v>
      </x:c>
      <x:c r="L28" s="2" t="n">
        <x:f>G28*H28</x:f>
        <x:v>2600</x:v>
      </x:c>
      <x:c r="M28" s="2" t="n">
        <x:f>ROUND(L28*(1-I28),2)</x:f>
        <x:v>2600</x:v>
      </x:c>
      <x:c r="N28" s="2" t="n">
        <x:f>G28*J28</x:f>
        <x:v>1300</x:v>
      </x:c>
      <x:c r="O28" s="2" t="n">
        <x:f>M28-N28-K28</x:f>
        <x:v>1250</x:v>
      </x:c>
      <x:c r="P28" s="1" t="str">
        <x:f>TEXT(B28,"yyyy-mm")</x:f>
        <x:v>2025-04</x:v>
      </x:c>
    </x:row>
    <x:row r="29">
      <x:c r="A29" s="1" t="str">
        <x:v>ORD-0025</x:v>
      </x:c>
      <x:c r="B29" s="4" t="d">
        <x:v>2025-02-03T00:00:00.000Z</x:v>
      </x:c>
      <x:c r="C29" s="1" t="str">
        <x:v>C-017</x:v>
      </x:c>
      <x:c r="D29" s="1" t="str">
        <x:v>East</x:v>
      </x:c>
      <x:c r="E29" s="1" t="str">
        <x:v>Electronics</x:v>
      </x:c>
      <x:c r="F29" s="1" t="str">
        <x:v>Headphones</x:v>
      </x:c>
      <x:c r="G29" s="1" t="n">
        <x:v>1</x:v>
      </x:c>
      <x:c r="H29" s="2" t="n">
        <x:v>2200</x:v>
      </x:c>
      <x:c r="I29" s="3" t="n">
        <x:v>0.05</x:v>
      </x:c>
      <x:c r="J29" s="2" t="n">
        <x:v>1450</x:v>
      </x:c>
      <x:c r="K29" s="2" t="n">
        <x:v>120</x:v>
      </x:c>
      <x:c r="L29" s="2" t="n">
        <x:f>G29*H29</x:f>
        <x:v>2200</x:v>
      </x:c>
      <x:c r="M29" s="2" t="n">
        <x:f>ROUND(L29*(1-I29),2)</x:f>
        <x:v>2090</x:v>
      </x:c>
      <x:c r="N29" s="2" t="n">
        <x:f>G29*J29</x:f>
        <x:v>1450</x:v>
      </x:c>
      <x:c r="O29" s="2" t="n">
        <x:f>M29-N29-K29</x:f>
        <x:v>520</x:v>
      </x:c>
      <x:c r="P29" s="1" t="str">
        <x:f>TEXT(B29,"yyyy-mm")</x:f>
        <x:v>2025-02</x:v>
      </x:c>
    </x:row>
    <x:row r="30">
      <x:c r="A30" s="1" t="str">
        <x:v>ORD-0026</x:v>
      </x:c>
      <x:c r="B30" s="4" t="d">
        <x:v>2025-04-18T00:00:00.000Z</x:v>
      </x:c>
      <x:c r="C30" s="1" t="str">
        <x:v>C-068</x:v>
      </x:c>
      <x:c r="D30" s="1" t="str">
        <x:v>West</x:v>
      </x:c>
      <x:c r="E30" s="1" t="str">
        <x:v>Home</x:v>
      </x:c>
      <x:c r="F30" s="1" t="str">
        <x:v>Desk lamp</x:v>
      </x:c>
      <x:c r="G30" s="1" t="n">
        <x:v>2</x:v>
      </x:c>
      <x:c r="H30" s="2" t="n">
        <x:v>1100</x:v>
      </x:c>
      <x:c r="I30" s="3" t="n">
        <x:v>0.05</x:v>
      </x:c>
      <x:c r="J30" s="2" t="n">
        <x:v>650</x:v>
      </x:c>
      <x:c r="K30" s="2" t="n">
        <x:v>80</x:v>
      </x:c>
      <x:c r="L30" s="2" t="n">
        <x:f>G30*H30</x:f>
        <x:v>2200</x:v>
      </x:c>
      <x:c r="M30" s="2" t="n">
        <x:f>ROUND(L30*(1-I30),2)</x:f>
        <x:v>2090</x:v>
      </x:c>
      <x:c r="N30" s="2" t="n">
        <x:f>G30*J30</x:f>
        <x:v>1300</x:v>
      </x:c>
      <x:c r="O30" s="2" t="n">
        <x:f>M30-N30-K30</x:f>
        <x:v>710</x:v>
      </x:c>
      <x:c r="P30" s="1" t="str">
        <x:f>TEXT(B30,"yyyy-mm")</x:f>
        <x:v>2025-04</x:v>
      </x:c>
    </x:row>
    <x:row r="31">
      <x:c r="A31" s="1" t="str">
        <x:v>ORD-0027</x:v>
      </x:c>
      <x:c r="B31" s="4" t="d">
        <x:v>2025-11-04T00:00:00.000Z</x:v>
      </x:c>
      <x:c r="C31" s="1" t="str">
        <x:v>C-221</x:v>
      </x:c>
      <x:c r="D31" s="1" t="str">
        <x:v>East</x:v>
      </x:c>
      <x:c r="E31" s="1" t="str">
        <x:v>Fashion</x:v>
      </x:c>
      <x:c r="F31" s="1" t="str">
        <x:v>T-shirt</x:v>
      </x:c>
      <x:c r="G31" s="1" t="n">
        <x:v>4</x:v>
      </x:c>
      <x:c r="H31" s="2" t="n">
        <x:v>700</x:v>
      </x:c>
      <x:c r="I31" s="3" t="n">
        <x:v>0</x:v>
      </x:c>
      <x:c r="J31" s="2" t="n">
        <x:v>300</x:v>
      </x:c>
      <x:c r="K31" s="2" t="n">
        <x:v>80</x:v>
      </x:c>
      <x:c r="L31" s="2" t="n">
        <x:f>G31*H31</x:f>
        <x:v>2800</x:v>
      </x:c>
      <x:c r="M31" s="2" t="n">
        <x:f>ROUND(L31*(1-I31),2)</x:f>
        <x:v>2800</x:v>
      </x:c>
      <x:c r="N31" s="2" t="n">
        <x:f>G31*J31</x:f>
        <x:v>1200</x:v>
      </x:c>
      <x:c r="O31" s="2" t="n">
        <x:f>M31-N31-K31</x:f>
        <x:v>1520</x:v>
      </x:c>
      <x:c r="P31" s="1" t="str">
        <x:f>TEXT(B31,"yyyy-mm")</x:f>
        <x:v>2025-11</x:v>
      </x:c>
    </x:row>
    <x:row r="32">
      <x:c r="A32" s="1" t="str">
        <x:v>ORD-0028</x:v>
      </x:c>
      <x:c r="B32" s="4" t="d">
        <x:v>2025-07-21T00:00:00.000Z</x:v>
      </x:c>
      <x:c r="C32" s="1" t="str">
        <x:v>C-051</x:v>
      </x:c>
      <x:c r="D32" s="1" t="str">
        <x:v>North</x:v>
      </x:c>
      <x:c r="E32" s="1" t="str">
        <x:v>Electronics</x:v>
      </x:c>
      <x:c r="F32" s="1" t="str">
        <x:v>Headphones</x:v>
      </x:c>
      <x:c r="G32" s="1" t="n">
        <x:v>4</x:v>
      </x:c>
      <x:c r="H32" s="2" t="n">
        <x:v>2200</x:v>
      </x:c>
      <x:c r="I32" s="3" t="n">
        <x:v>0.35</x:v>
      </x:c>
      <x:c r="J32" s="2" t="n">
        <x:v>1450</x:v>
      </x:c>
      <x:c r="K32" s="2" t="n">
        <x:v>120</x:v>
      </x:c>
      <x:c r="L32" s="2" t="n">
        <x:f>G32*H32</x:f>
        <x:v>8800</x:v>
      </x:c>
      <x:c r="M32" s="2" t="n">
        <x:f>ROUND(L32*(1-I32),2)</x:f>
        <x:v>5720</x:v>
      </x:c>
      <x:c r="N32" s="2" t="n">
        <x:f>G32*J32</x:f>
        <x:v>5800</x:v>
      </x:c>
      <x:c r="O32" s="2" t="n">
        <x:f>M32-N32-K32</x:f>
        <x:v>-200</x:v>
      </x:c>
      <x:c r="P32" s="1" t="str">
        <x:f>TEXT(B32,"yyyy-mm")</x:f>
        <x:v>2025-07</x:v>
      </x:c>
    </x:row>
    <x:row r="33">
      <x:c r="A33" s="1" t="str">
        <x:v>ORD-0029</x:v>
      </x:c>
      <x:c r="B33" s="4" t="d">
        <x:v>2025-06-07T00:00:00.000Z</x:v>
      </x:c>
      <x:c r="C33" s="1" t="str">
        <x:v>C-098</x:v>
      </x:c>
      <x:c r="D33" s="1" t="str">
        <x:v>West</x:v>
      </x:c>
      <x:c r="E33" s="1" t="str">
        <x:v>Electronics</x:v>
      </x:c>
      <x:c r="F33" s="1" t="str">
        <x:v>Keyboard</x:v>
      </x:c>
      <x:c r="G33" s="1" t="n">
        <x:v>2</x:v>
      </x:c>
      <x:c r="H33" s="2" t="n">
        <x:v>1500</x:v>
      </x:c>
      <x:c r="I33" s="3" t="n">
        <x:v>0.05</x:v>
      </x:c>
      <x:c r="J33" s="2" t="n">
        <x:v>900</x:v>
      </x:c>
      <x:c r="K33" s="2" t="n">
        <x:v>80</x:v>
      </x:c>
      <x:c r="L33" s="2" t="n">
        <x:f>G33*H33</x:f>
        <x:v>3000</x:v>
      </x:c>
      <x:c r="M33" s="2" t="n">
        <x:f>ROUND(L33*(1-I33),2)</x:f>
        <x:v>2850</x:v>
      </x:c>
      <x:c r="N33" s="2" t="n">
        <x:f>G33*J33</x:f>
        <x:v>1800</x:v>
      </x:c>
      <x:c r="O33" s="2" t="n">
        <x:f>M33-N33-K33</x:f>
        <x:v>970</x:v>
      </x:c>
      <x:c r="P33" s="1" t="str">
        <x:f>TEXT(B33,"yyyy-mm")</x:f>
        <x:v>2025-06</x:v>
      </x:c>
    </x:row>
    <x:row r="34">
      <x:c r="A34" s="1" t="str">
        <x:v>ORD-0030</x:v>
      </x:c>
      <x:c r="B34" s="4" t="d">
        <x:v>2025-03-28T00:00:00.000Z</x:v>
      </x:c>
      <x:c r="C34" s="1" t="str">
        <x:v>C-039</x:v>
      </x:c>
      <x:c r="D34" s="1" t="str">
        <x:v>West</x:v>
      </x:c>
      <x:c r="E34" s="1" t="str">
        <x:v>Home</x:v>
      </x:c>
      <x:c r="F34" s="1" t="str">
        <x:v>Desk lamp</x:v>
      </x:c>
      <x:c r="G34" s="1" t="n">
        <x:v>1</x:v>
      </x:c>
      <x:c r="H34" s="2" t="n">
        <x:v>1100</x:v>
      </x:c>
      <x:c r="I34" s="3" t="n">
        <x:v>0.05</x:v>
      </x:c>
      <x:c r="J34" s="2" t="n">
        <x:v>650</x:v>
      </x:c>
      <x:c r="K34" s="2" t="n">
        <x:v>50</x:v>
      </x:c>
      <x:c r="L34" s="2" t="n">
        <x:f>G34*H34</x:f>
        <x:v>1100</x:v>
      </x:c>
      <x:c r="M34" s="2" t="n">
        <x:f>ROUND(L34*(1-I34),2)</x:f>
        <x:v>1045</x:v>
      </x:c>
      <x:c r="N34" s="2" t="n">
        <x:f>G34*J34</x:f>
        <x:v>650</x:v>
      </x:c>
      <x:c r="O34" s="2" t="n">
        <x:f>M34-N34-K34</x:f>
        <x:v>345</x:v>
      </x:c>
      <x:c r="P34" s="1" t="str">
        <x:f>TEXT(B34,"yyyy-mm")</x:f>
        <x:v>2025-03</x:v>
      </x:c>
    </x:row>
    <x:row r="35">
      <x:c r="A35" s="1" t="str">
        <x:v>ORD-0031</x:v>
      </x:c>
      <x:c r="B35" s="4" t="d">
        <x:v>2025-10-03T00:00:00.000Z</x:v>
      </x:c>
      <x:c r="C35" s="1" t="str">
        <x:v>C-122</x:v>
      </x:c>
      <x:c r="D35" s="1" t="str">
        <x:v>South</x:v>
      </x:c>
      <x:c r="E35" s="1" t="str">
        <x:v>Home</x:v>
      </x:c>
      <x:c r="F35" s="1" t="str">
        <x:v>Storage box</x:v>
      </x:c>
      <x:c r="G35" s="1" t="n">
        <x:v>4</x:v>
      </x:c>
      <x:c r="H35" s="2" t="n">
        <x:v>800</x:v>
      </x:c>
      <x:c r="I35" s="3" t="n">
        <x:v>0</x:v>
      </x:c>
      <x:c r="J35" s="2" t="n">
        <x:v>420</x:v>
      </x:c>
      <x:c r="K35" s="2" t="n">
        <x:v>80</x:v>
      </x:c>
      <x:c r="L35" s="2" t="n">
        <x:f>G35*H35</x:f>
        <x:v>3200</x:v>
      </x:c>
      <x:c r="M35" s="2" t="n">
        <x:f>ROUND(L35*(1-I35),2)</x:f>
        <x:v>3200</x:v>
      </x:c>
      <x:c r="N35" s="2" t="n">
        <x:f>G35*J35</x:f>
        <x:v>1680</x:v>
      </x:c>
      <x:c r="O35" s="2" t="n">
        <x:f>M35-N35-K35</x:f>
        <x:v>1440</x:v>
      </x:c>
      <x:c r="P35" s="1" t="str">
        <x:f>TEXT(B35,"yyyy-mm")</x:f>
        <x:v>2025-10</x:v>
      </x:c>
    </x:row>
    <x:row r="36">
      <x:c r="A36" s="1" t="str">
        <x:v>ORD-0032</x:v>
      </x:c>
      <x:c r="B36" s="4" t="d">
        <x:v>2025-07-06T00:00:00.000Z</x:v>
      </x:c>
      <x:c r="C36" s="1" t="str">
        <x:v>C-195</x:v>
      </x:c>
      <x:c r="D36" s="1" t="str">
        <x:v>North</x:v>
      </x:c>
      <x:c r="E36" s="1" t="str">
        <x:v>Home</x:v>
      </x:c>
      <x:c r="F36" s="1" t="str">
        <x:v>Office chair</x:v>
      </x:c>
      <x:c r="G36" s="1" t="n">
        <x:v>4</x:v>
      </x:c>
      <x:c r="H36" s="2" t="n">
        <x:v>5500</x:v>
      </x:c>
      <x:c r="I36" s="3" t="n">
        <x:v>0</x:v>
      </x:c>
      <x:c r="J36" s="2" t="n">
        <x:v>4400</x:v>
      </x:c>
      <x:c r="K36" s="2" t="n">
        <x:v>80</x:v>
      </x:c>
      <x:c r="L36" s="2" t="n">
        <x:f>G36*H36</x:f>
        <x:v>22000</x:v>
      </x:c>
      <x:c r="M36" s="2" t="n">
        <x:f>ROUND(L36*(1-I36),2)</x:f>
        <x:v>22000</x:v>
      </x:c>
      <x:c r="N36" s="2" t="n">
        <x:f>G36*J36</x:f>
        <x:v>17600</x:v>
      </x:c>
      <x:c r="O36" s="2" t="n">
        <x:f>M36-N36-K36</x:f>
        <x:v>4320</x:v>
      </x:c>
      <x:c r="P36" s="1" t="str">
        <x:f>TEXT(B36,"yyyy-mm")</x:f>
        <x:v>2025-07</x:v>
      </x:c>
    </x:row>
    <x:row r="37">
      <x:c r="A37" s="1" t="str">
        <x:v>ORD-0033</x:v>
      </x:c>
      <x:c r="B37" s="4" t="d">
        <x:v>2025-12-14T00:00:00.000Z</x:v>
      </x:c>
      <x:c r="C37" s="1" t="str">
        <x:v>C-285</x:v>
      </x:c>
      <x:c r="D37" s="1" t="str">
        <x:v>West</x:v>
      </x:c>
      <x:c r="E37" s="1" t="str">
        <x:v>Home</x:v>
      </x:c>
      <x:c r="F37" s="1" t="str">
        <x:v>Desk lamp</x:v>
      </x:c>
      <x:c r="G37" s="1" t="n">
        <x:v>2</x:v>
      </x:c>
      <x:c r="H37" s="2" t="n">
        <x:v>1100</x:v>
      </x:c>
      <x:c r="I37" s="3" t="n">
        <x:v>0.1</x:v>
      </x:c>
      <x:c r="J37" s="2" t="n">
        <x:v>650</x:v>
      </x:c>
      <x:c r="K37" s="2" t="n">
        <x:v>50</x:v>
      </x:c>
      <x:c r="L37" s="2" t="n">
        <x:f>G37*H37</x:f>
        <x:v>2200</x:v>
      </x:c>
      <x:c r="M37" s="2" t="n">
        <x:f>ROUND(L37*(1-I37),2)</x:f>
        <x:v>1980</x:v>
      </x:c>
      <x:c r="N37" s="2" t="n">
        <x:f>G37*J37</x:f>
        <x:v>1300</x:v>
      </x:c>
      <x:c r="O37" s="2" t="n">
        <x:f>M37-N37-K37</x:f>
        <x:v>630</x:v>
      </x:c>
      <x:c r="P37" s="1" t="str">
        <x:f>TEXT(B37,"yyyy-mm")</x:f>
        <x:v>2025-12</x:v>
      </x:c>
    </x:row>
    <x:row r="38">
      <x:c r="A38" s="1" t="str">
        <x:v>ORD-0034</x:v>
      </x:c>
      <x:c r="B38" s="4" t="d">
        <x:v>2025-05-24T00:00:00.000Z</x:v>
      </x:c>
      <x:c r="C38" s="1" t="str">
        <x:v>C-278</x:v>
      </x:c>
      <x:c r="D38" s="1" t="str">
        <x:v>North</x:v>
      </x:c>
      <x:c r="E38" s="1" t="str">
        <x:v>Electronics</x:v>
      </x:c>
      <x:c r="F38" s="1" t="str">
        <x:v>Headphones</x:v>
      </x:c>
      <x:c r="G38" s="1" t="n">
        <x:v>3</x:v>
      </x:c>
      <x:c r="H38" s="2" t="n">
        <x:v>2200</x:v>
      </x:c>
      <x:c r="I38" s="3" t="n">
        <x:v>0.25</x:v>
      </x:c>
      <x:c r="J38" s="2" t="n">
        <x:v>1450</x:v>
      </x:c>
      <x:c r="K38" s="2" t="n">
        <x:v>50</x:v>
      </x:c>
      <x:c r="L38" s="2" t="n">
        <x:f>G38*H38</x:f>
        <x:v>6600</x:v>
      </x:c>
      <x:c r="M38" s="2" t="n">
        <x:f>ROUND(L38*(1-I38),2)</x:f>
        <x:v>4950</x:v>
      </x:c>
      <x:c r="N38" s="2" t="n">
        <x:f>G38*J38</x:f>
        <x:v>4350</x:v>
      </x:c>
      <x:c r="O38" s="2" t="n">
        <x:f>M38-N38-K38</x:f>
        <x:v>550</x:v>
      </x:c>
      <x:c r="P38" s="1" t="str">
        <x:f>TEXT(B38,"yyyy-mm")</x:f>
        <x:v>2025-05</x:v>
      </x:c>
    </x:row>
    <x:row r="39">
      <x:c r="A39" s="1" t="str">
        <x:v>ORD-0035</x:v>
      </x:c>
      <x:c r="B39" s="4" t="d">
        <x:v>2025-01-30T00:00:00.000Z</x:v>
      </x:c>
      <x:c r="C39" s="1" t="str">
        <x:v>C-272</x:v>
      </x:c>
      <x:c r="D39" s="1" t="str">
        <x:v>South</x:v>
      </x:c>
      <x:c r="E39" s="1" t="str">
        <x:v>Home</x:v>
      </x:c>
      <x:c r="F39" s="1" t="str">
        <x:v>Desk lamp</x:v>
      </x:c>
      <x:c r="G39" s="1" t="n">
        <x:v>1</x:v>
      </x:c>
      <x:c r="H39" s="2" t="n">
        <x:v>1100</x:v>
      </x:c>
      <x:c r="I39" s="3" t="n">
        <x:v>0.25</x:v>
      </x:c>
      <x:c r="J39" s="2" t="n">
        <x:v>650</x:v>
      </x:c>
      <x:c r="K39" s="2" t="n">
        <x:v>120</x:v>
      </x:c>
      <x:c r="L39" s="2" t="n">
        <x:f>G39*H39</x:f>
        <x:v>1100</x:v>
      </x:c>
      <x:c r="M39" s="2" t="n">
        <x:f>ROUND(L39*(1-I39),2)</x:f>
        <x:v>825</x:v>
      </x:c>
      <x:c r="N39" s="2" t="n">
        <x:f>G39*J39</x:f>
        <x:v>650</x:v>
      </x:c>
      <x:c r="O39" s="2" t="n">
        <x:f>M39-N39-K39</x:f>
        <x:v>55</x:v>
      </x:c>
      <x:c r="P39" s="1" t="str">
        <x:f>TEXT(B39,"yyyy-mm")</x:f>
        <x:v>2025-01</x:v>
      </x:c>
    </x:row>
    <x:row r="40">
      <x:c r="A40" s="1" t="str">
        <x:v>ORD-0036</x:v>
      </x:c>
      <x:c r="B40" s="4" t="d">
        <x:v>2025-02-20T00:00:00.000Z</x:v>
      </x:c>
      <x:c r="C40" s="1" t="str">
        <x:v>C-035</x:v>
      </x:c>
      <x:c r="D40" s="1" t="str">
        <x:v>South</x:v>
      </x:c>
      <x:c r="E40" s="1" t="str">
        <x:v>Electronics</x:v>
      </x:c>
      <x:c r="F40" s="1" t="str">
        <x:v>Smartwatch</x:v>
      </x:c>
      <x:c r="G40" s="1" t="n">
        <x:v>4</x:v>
      </x:c>
      <x:c r="H40" s="2" t="n">
        <x:v>4200</x:v>
      </x:c>
      <x:c r="I40" s="3" t="n">
        <x:v>0</x:v>
      </x:c>
      <x:c r="J40" s="2" t="n">
        <x:v>3000</x:v>
      </x:c>
      <x:c r="K40" s="2" t="n">
        <x:v>50</x:v>
      </x:c>
      <x:c r="L40" s="2" t="n">
        <x:f>G40*H40</x:f>
        <x:v>16800</x:v>
      </x:c>
      <x:c r="M40" s="2" t="n">
        <x:f>ROUND(L40*(1-I40),2)</x:f>
        <x:v>16800</x:v>
      </x:c>
      <x:c r="N40" s="2" t="n">
        <x:f>G40*J40</x:f>
        <x:v>12000</x:v>
      </x:c>
      <x:c r="O40" s="2" t="n">
        <x:f>M40-N40-K40</x:f>
        <x:v>4750</x:v>
      </x:c>
      <x:c r="P40" s="1" t="str">
        <x:f>TEXT(B40,"yyyy-mm")</x:f>
        <x:v>2025-02</x:v>
      </x:c>
    </x:row>
    <x:row r="41">
      <x:c r="A41" s="1" t="str">
        <x:v>ORD-0037</x:v>
      </x:c>
      <x:c r="B41" s="4" t="d">
        <x:v>2025-12-20T00:00:00.000Z</x:v>
      </x:c>
      <x:c r="C41" s="1" t="str">
        <x:v>C-021</x:v>
      </x:c>
      <x:c r="D41" s="1" t="str">
        <x:v>North</x:v>
      </x:c>
      <x:c r="E41" s="1" t="str">
        <x:v>Fashion</x:v>
      </x:c>
      <x:c r="F41" s="1" t="str">
        <x:v>T-shirt</x:v>
      </x:c>
      <x:c r="G41" s="1" t="n">
        <x:v>4</x:v>
      </x:c>
      <x:c r="H41" s="2" t="n">
        <x:v>700</x:v>
      </x:c>
      <x:c r="I41" s="3" t="n">
        <x:v>0.25</x:v>
      </x:c>
      <x:c r="J41" s="2" t="n">
        <x:v>300</x:v>
      </x:c>
      <x:c r="K41" s="2" t="n">
        <x:v>120</x:v>
      </x:c>
      <x:c r="L41" s="2" t="n">
        <x:f>G41*H41</x:f>
        <x:v>2800</x:v>
      </x:c>
      <x:c r="M41" s="2" t="n">
        <x:f>ROUND(L41*(1-I41),2)</x:f>
        <x:v>2100</x:v>
      </x:c>
      <x:c r="N41" s="2" t="n">
        <x:f>G41*J41</x:f>
        <x:v>1200</x:v>
      </x:c>
      <x:c r="O41" s="2" t="n">
        <x:f>M41-N41-K41</x:f>
        <x:v>780</x:v>
      </x:c>
      <x:c r="P41" s="1" t="str">
        <x:f>TEXT(B41,"yyyy-mm")</x:f>
        <x:v>2025-12</x:v>
      </x:c>
    </x:row>
    <x:row r="42">
      <x:c r="A42" s="1" t="str">
        <x:v>ORD-0038</x:v>
      </x:c>
      <x:c r="B42" s="4" t="d">
        <x:v>2025-09-30T00:00:00.000Z</x:v>
      </x:c>
      <x:c r="C42" s="1" t="str">
        <x:v>C-134</x:v>
      </x:c>
      <x:c r="D42" s="1" t="str">
        <x:v>South</x:v>
      </x:c>
      <x:c r="E42" s="1" t="str">
        <x:v>Home</x:v>
      </x:c>
      <x:c r="F42" s="1" t="str">
        <x:v>Storage box</x:v>
      </x:c>
      <x:c r="G42" s="1" t="n">
        <x:v>3</x:v>
      </x:c>
      <x:c r="H42" s="2" t="n">
        <x:v>800</x:v>
      </x:c>
      <x:c r="I42" s="3" t="n">
        <x:v>0.1</x:v>
      </x:c>
      <x:c r="J42" s="2" t="n">
        <x:v>420</x:v>
      </x:c>
      <x:c r="K42" s="2" t="n">
        <x:v>50</x:v>
      </x:c>
      <x:c r="L42" s="2" t="n">
        <x:f>G42*H42</x:f>
        <x:v>2400</x:v>
      </x:c>
      <x:c r="M42" s="2" t="n">
        <x:f>ROUND(L42*(1-I42),2)</x:f>
        <x:v>2160</x:v>
      </x:c>
      <x:c r="N42" s="2" t="n">
        <x:f>G42*J42</x:f>
        <x:v>1260</x:v>
      </x:c>
      <x:c r="O42" s="2" t="n">
        <x:f>M42-N42-K42</x:f>
        <x:v>850</x:v>
      </x:c>
      <x:c r="P42" s="1" t="str">
        <x:f>TEXT(B42,"yyyy-mm")</x:f>
        <x:v>2025-09</x:v>
      </x:c>
    </x:row>
    <x:row r="43">
      <x:c r="A43" s="1" t="str">
        <x:v>ORD-0039</x:v>
      </x:c>
      <x:c r="B43" s="4" t="d">
        <x:v>2025-04-21T00:00:00.000Z</x:v>
      </x:c>
      <x:c r="C43" s="1" t="str">
        <x:v>C-154</x:v>
      </x:c>
      <x:c r="D43" s="1" t="str">
        <x:v>West</x:v>
      </x:c>
      <x:c r="E43" s="1" t="str">
        <x:v>Electronics</x:v>
      </x:c>
      <x:c r="F43" s="1" t="str">
        <x:v>Smartwatch</x:v>
      </x:c>
      <x:c r="G43" s="1" t="n">
        <x:v>3</x:v>
      </x:c>
      <x:c r="H43" s="2" t="n">
        <x:v>4200</x:v>
      </x:c>
      <x:c r="I43" s="3" t="n">
        <x:v>0.35</x:v>
      </x:c>
      <x:c r="J43" s="2" t="n">
        <x:v>3000</x:v>
      </x:c>
      <x:c r="K43" s="2" t="n">
        <x:v>50</x:v>
      </x:c>
      <x:c r="L43" s="2" t="n">
        <x:f>G43*H43</x:f>
        <x:v>12600</x:v>
      </x:c>
      <x:c r="M43" s="2" t="n">
        <x:f>ROUND(L43*(1-I43),2)</x:f>
        <x:v>8190</x:v>
      </x:c>
      <x:c r="N43" s="2" t="n">
        <x:f>G43*J43</x:f>
        <x:v>9000</x:v>
      </x:c>
      <x:c r="O43" s="2" t="n">
        <x:f>M43-N43-K43</x:f>
        <x:v>-860</x:v>
      </x:c>
      <x:c r="P43" s="1" t="str">
        <x:f>TEXT(B43,"yyyy-mm")</x:f>
        <x:v>2025-04</x:v>
      </x:c>
    </x:row>
    <x:row r="44">
      <x:c r="A44" s="1" t="str">
        <x:v>ORD-0040</x:v>
      </x:c>
      <x:c r="B44" s="4" t="d">
        <x:v>2025-01-18T00:00:00.000Z</x:v>
      </x:c>
      <x:c r="C44" s="1" t="str">
        <x:v>C-110</x:v>
      </x:c>
      <x:c r="D44" s="1" t="str">
        <x:v>East</x:v>
      </x:c>
      <x:c r="E44" s="1" t="str">
        <x:v>Electronics</x:v>
      </x:c>
      <x:c r="F44" s="1" t="str">
        <x:v>Keyboard</x:v>
      </x:c>
      <x:c r="G44" s="1" t="n">
        <x:v>2</x:v>
      </x:c>
      <x:c r="H44" s="2" t="n">
        <x:v>1500</x:v>
      </x:c>
      <x:c r="I44" s="3" t="n">
        <x:v>0</x:v>
      </x:c>
      <x:c r="J44" s="2" t="n">
        <x:v>900</x:v>
      </x:c>
      <x:c r="K44" s="2" t="n">
        <x:v>80</x:v>
      </x:c>
      <x:c r="L44" s="2" t="n">
        <x:f>G44*H44</x:f>
        <x:v>3000</x:v>
      </x:c>
      <x:c r="M44" s="2" t="n">
        <x:f>ROUND(L44*(1-I44),2)</x:f>
        <x:v>3000</x:v>
      </x:c>
      <x:c r="N44" s="2" t="n">
        <x:f>G44*J44</x:f>
        <x:v>1800</x:v>
      </x:c>
      <x:c r="O44" s="2" t="n">
        <x:f>M44-N44-K44</x:f>
        <x:v>1120</x:v>
      </x:c>
      <x:c r="P44" s="1" t="str">
        <x:f>TEXT(B44,"yyyy-mm")</x:f>
        <x:v>2025-01</x:v>
      </x:c>
    </x:row>
    <x:row r="45">
      <x:c r="A45" s="1" t="str">
        <x:v>ORD-0041</x:v>
      </x:c>
      <x:c r="B45" s="4" t="d">
        <x:v>2025-11-10T00:00:00.000Z</x:v>
      </x:c>
      <x:c r="C45" s="1" t="str">
        <x:v>C-081</x:v>
      </x:c>
      <x:c r="D45" s="1" t="str">
        <x:v>West</x:v>
      </x:c>
      <x:c r="E45" s="1" t="str">
        <x:v>Fashion</x:v>
      </x:c>
      <x:c r="F45" s="1" t="str">
        <x:v>T-shirt</x:v>
      </x:c>
      <x:c r="G45" s="1" t="n">
        <x:v>3</x:v>
      </x:c>
      <x:c r="H45" s="2" t="n">
        <x:v>700</x:v>
      </x:c>
      <x:c r="I45" s="3" t="n">
        <x:v>0.1</x:v>
      </x:c>
      <x:c r="J45" s="2" t="n">
        <x:v>300</x:v>
      </x:c>
      <x:c r="K45" s="2" t="n">
        <x:v>120</x:v>
      </x:c>
      <x:c r="L45" s="2" t="n">
        <x:f>G45*H45</x:f>
        <x:v>2100</x:v>
      </x:c>
      <x:c r="M45" s="2" t="n">
        <x:f>ROUND(L45*(1-I45),2)</x:f>
        <x:v>1890</x:v>
      </x:c>
      <x:c r="N45" s="2" t="n">
        <x:f>G45*J45</x:f>
        <x:v>900</x:v>
      </x:c>
      <x:c r="O45" s="2" t="n">
        <x:f>M45-N45-K45</x:f>
        <x:v>870</x:v>
      </x:c>
      <x:c r="P45" s="1" t="str">
        <x:f>TEXT(B45,"yyyy-mm")</x:f>
        <x:v>2025-11</x:v>
      </x:c>
    </x:row>
    <x:row r="46">
      <x:c r="A46" s="1" t="str">
        <x:v>ORD-0042</x:v>
      </x:c>
      <x:c r="B46" s="4" t="d">
        <x:v>2025-12-22T00:00:00.000Z</x:v>
      </x:c>
      <x:c r="C46" s="1" t="str">
        <x:v>C-284</x:v>
      </x:c>
      <x:c r="D46" s="1" t="str">
        <x:v>East</x:v>
      </x:c>
      <x:c r="E46" s="1" t="str">
        <x:v>Home</x:v>
      </x:c>
      <x:c r="F46" s="1" t="str">
        <x:v>Storage box</x:v>
      </x:c>
      <x:c r="G46" s="1" t="n">
        <x:v>1</x:v>
      </x:c>
      <x:c r="H46" s="2" t="n">
        <x:v>800</x:v>
      </x:c>
      <x:c r="I46" s="3" t="n">
        <x:v>0</x:v>
      </x:c>
      <x:c r="J46" s="2" t="n">
        <x:v>420</x:v>
      </x:c>
      <x:c r="K46" s="2" t="n">
        <x:v>50</x:v>
      </x:c>
      <x:c r="L46" s="2" t="n">
        <x:f>G46*H46</x:f>
        <x:v>800</x:v>
      </x:c>
      <x:c r="M46" s="2" t="n">
        <x:f>ROUND(L46*(1-I46),2)</x:f>
        <x:v>800</x:v>
      </x:c>
      <x:c r="N46" s="2" t="n">
        <x:f>G46*J46</x:f>
        <x:v>420</x:v>
      </x:c>
      <x:c r="O46" s="2" t="n">
        <x:f>M46-N46-K46</x:f>
        <x:v>330</x:v>
      </x:c>
      <x:c r="P46" s="1" t="str">
        <x:f>TEXT(B46,"yyyy-mm")</x:f>
        <x:v>2025-12</x:v>
      </x:c>
    </x:row>
    <x:row r="47">
      <x:c r="A47" s="1" t="str">
        <x:v>ORD-0043</x:v>
      </x:c>
      <x:c r="B47" s="4" t="d">
        <x:v>2025-04-18T00:00:00.000Z</x:v>
      </x:c>
      <x:c r="C47" s="1" t="str">
        <x:v>C-080</x:v>
      </x:c>
      <x:c r="D47" s="1" t="str">
        <x:v>East</x:v>
      </x:c>
      <x:c r="E47" s="1" t="str">
        <x:v>Electronics</x:v>
      </x:c>
      <x:c r="F47" s="1" t="str">
        <x:v>Keyboard</x:v>
      </x:c>
      <x:c r="G47" s="1" t="n">
        <x:v>3</x:v>
      </x:c>
      <x:c r="H47" s="2" t="n">
        <x:v>1500</x:v>
      </x:c>
      <x:c r="I47" s="3" t="n">
        <x:v>0.35</x:v>
      </x:c>
      <x:c r="J47" s="2" t="n">
        <x:v>900</x:v>
      </x:c>
      <x:c r="K47" s="2" t="n">
        <x:v>120</x:v>
      </x:c>
      <x:c r="L47" s="2" t="n">
        <x:f>G47*H47</x:f>
        <x:v>4500</x:v>
      </x:c>
      <x:c r="M47" s="2" t="n">
        <x:f>ROUND(L47*(1-I47),2)</x:f>
        <x:v>2925</x:v>
      </x:c>
      <x:c r="N47" s="2" t="n">
        <x:f>G47*J47</x:f>
        <x:v>2700</x:v>
      </x:c>
      <x:c r="O47" s="2" t="n">
        <x:f>M47-N47-K47</x:f>
        <x:v>105</x:v>
      </x:c>
      <x:c r="P47" s="1" t="str">
        <x:f>TEXT(B47,"yyyy-mm")</x:f>
        <x:v>2025-04</x:v>
      </x:c>
    </x:row>
    <x:row r="48">
      <x:c r="A48" s="1" t="str">
        <x:v>ORD-0044</x:v>
      </x:c>
      <x:c r="B48" s="4" t="d">
        <x:v>2025-04-22T00:00:00.000Z</x:v>
      </x:c>
      <x:c r="C48" s="1" t="str">
        <x:v>C-136</x:v>
      </x:c>
      <x:c r="D48" s="1" t="str">
        <x:v>West</x:v>
      </x:c>
      <x:c r="E48" s="1" t="str">
        <x:v>Fashion</x:v>
      </x:c>
      <x:c r="F48" s="1" t="str">
        <x:v>Backpack</x:v>
      </x:c>
      <x:c r="G48" s="1" t="n">
        <x:v>3</x:v>
      </x:c>
      <x:c r="H48" s="2" t="n">
        <x:v>1300</x:v>
      </x:c>
      <x:c r="I48" s="3" t="n">
        <x:v>0.05</x:v>
      </x:c>
      <x:c r="J48" s="2" t="n">
        <x:v>650</x:v>
      </x:c>
      <x:c r="K48" s="2" t="n">
        <x:v>50</x:v>
      </x:c>
      <x:c r="L48" s="2" t="n">
        <x:f>G48*H48</x:f>
        <x:v>3900</x:v>
      </x:c>
      <x:c r="M48" s="2" t="n">
        <x:f>ROUND(L48*(1-I48),2)</x:f>
        <x:v>3705</x:v>
      </x:c>
      <x:c r="N48" s="2" t="n">
        <x:f>G48*J48</x:f>
        <x:v>1950</x:v>
      </x:c>
      <x:c r="O48" s="2" t="n">
        <x:f>M48-N48-K48</x:f>
        <x:v>1705</x:v>
      </x:c>
      <x:c r="P48" s="1" t="str">
        <x:f>TEXT(B48,"yyyy-mm")</x:f>
        <x:v>2025-04</x:v>
      </x:c>
    </x:row>
    <x:row r="49">
      <x:c r="A49" s="1" t="str">
        <x:v>ORD-0045</x:v>
      </x:c>
      <x:c r="B49" s="4" t="d">
        <x:v>2025-02-02T00:00:00.000Z</x:v>
      </x:c>
      <x:c r="C49" s="1" t="str">
        <x:v>C-002</x:v>
      </x:c>
      <x:c r="D49" s="1" t="str">
        <x:v>East</x:v>
      </x:c>
      <x:c r="E49" s="1" t="str">
        <x:v>Home</x:v>
      </x:c>
      <x:c r="F49" s="1" t="str">
        <x:v>Office chair</x:v>
      </x:c>
      <x:c r="G49" s="1" t="n">
        <x:v>2</x:v>
      </x:c>
      <x:c r="H49" s="2" t="n">
        <x:v>5500</x:v>
      </x:c>
      <x:c r="I49" s="3" t="n">
        <x:v>0.1</x:v>
      </x:c>
      <x:c r="J49" s="2" t="n">
        <x:v>4400</x:v>
      </x:c>
      <x:c r="K49" s="2" t="n">
        <x:v>120</x:v>
      </x:c>
      <x:c r="L49" s="2" t="n">
        <x:f>G49*H49</x:f>
        <x:v>11000</x:v>
      </x:c>
      <x:c r="M49" s="2" t="n">
        <x:f>ROUND(L49*(1-I49),2)</x:f>
        <x:v>9900</x:v>
      </x:c>
      <x:c r="N49" s="2" t="n">
        <x:f>G49*J49</x:f>
        <x:v>8800</x:v>
      </x:c>
      <x:c r="O49" s="2" t="n">
        <x:f>M49-N49-K49</x:f>
        <x:v>980</x:v>
      </x:c>
      <x:c r="P49" s="1" t="str">
        <x:f>TEXT(B49,"yyyy-mm")</x:f>
        <x:v>2025-02</x:v>
      </x:c>
    </x:row>
    <x:row r="50">
      <x:c r="A50" s="1" t="str">
        <x:v>ORD-0046</x:v>
      </x:c>
      <x:c r="B50" s="4" t="d">
        <x:v>2025-12-15T00:00:00.000Z</x:v>
      </x:c>
      <x:c r="C50" s="1" t="str">
        <x:v>C-283</x:v>
      </x:c>
      <x:c r="D50" s="1" t="str">
        <x:v>West</x:v>
      </x:c>
      <x:c r="E50" s="1" t="str">
        <x:v>Electronics</x:v>
      </x:c>
      <x:c r="F50" s="1" t="str">
        <x:v>Smartwatch</x:v>
      </x:c>
      <x:c r="G50" s="1" t="n">
        <x:v>1</x:v>
      </x:c>
      <x:c r="H50" s="2" t="n">
        <x:v>4200</x:v>
      </x:c>
      <x:c r="I50" s="3" t="n">
        <x:v>0.35</x:v>
      </x:c>
      <x:c r="J50" s="2" t="n">
        <x:v>3000</x:v>
      </x:c>
      <x:c r="K50" s="2" t="n">
        <x:v>50</x:v>
      </x:c>
      <x:c r="L50" s="2" t="n">
        <x:f>G50*H50</x:f>
        <x:v>4200</x:v>
      </x:c>
      <x:c r="M50" s="2" t="n">
        <x:f>ROUND(L50*(1-I50),2)</x:f>
        <x:v>2730</x:v>
      </x:c>
      <x:c r="N50" s="2" t="n">
        <x:f>G50*J50</x:f>
        <x:v>3000</x:v>
      </x:c>
      <x:c r="O50" s="2" t="n">
        <x:f>M50-N50-K50</x:f>
        <x:v>-320</x:v>
      </x:c>
      <x:c r="P50" s="1" t="str">
        <x:f>TEXT(B50,"yyyy-mm")</x:f>
        <x:v>2025-12</x:v>
      </x:c>
    </x:row>
    <x:row r="51">
      <x:c r="A51" s="1" t="str">
        <x:v>ORD-0047</x:v>
      </x:c>
      <x:c r="B51" s="4" t="d">
        <x:v>2025-02-02T00:00:00.000Z</x:v>
      </x:c>
      <x:c r="C51" s="1" t="str">
        <x:v>C-190</x:v>
      </x:c>
      <x:c r="D51" s="1" t="str">
        <x:v>South</x:v>
      </x:c>
      <x:c r="E51" s="1" t="str">
        <x:v>Electronics</x:v>
      </x:c>
      <x:c r="F51" s="1" t="str">
        <x:v>Smartwatch</x:v>
      </x:c>
      <x:c r="G51" s="1" t="n">
        <x:v>4</x:v>
      </x:c>
      <x:c r="H51" s="2" t="n">
        <x:v>4200</x:v>
      </x:c>
      <x:c r="I51" s="3" t="n">
        <x:v>0.25</x:v>
      </x:c>
      <x:c r="J51" s="2" t="n">
        <x:v>3000</x:v>
      </x:c>
      <x:c r="K51" s="2" t="n">
        <x:v>50</x:v>
      </x:c>
      <x:c r="L51" s="2" t="n">
        <x:f>G51*H51</x:f>
        <x:v>16800</x:v>
      </x:c>
      <x:c r="M51" s="2" t="n">
        <x:f>ROUND(L51*(1-I51),2)</x:f>
        <x:v>12600</x:v>
      </x:c>
      <x:c r="N51" s="2" t="n">
        <x:f>G51*J51</x:f>
        <x:v>12000</x:v>
      </x:c>
      <x:c r="O51" s="2" t="n">
        <x:f>M51-N51-K51</x:f>
        <x:v>550</x:v>
      </x:c>
      <x:c r="P51" s="1" t="str">
        <x:f>TEXT(B51,"yyyy-mm")</x:f>
        <x:v>2025-02</x:v>
      </x:c>
    </x:row>
    <x:row r="52">
      <x:c r="A52" s="1" t="str">
        <x:v>ORD-0048</x:v>
      </x:c>
      <x:c r="B52" s="4" t="d">
        <x:v>2025-01-29T00:00:00.000Z</x:v>
      </x:c>
      <x:c r="C52" s="1" t="str">
        <x:v>C-184</x:v>
      </x:c>
      <x:c r="D52" s="1" t="str">
        <x:v>South</x:v>
      </x:c>
      <x:c r="E52" s="1" t="str">
        <x:v>Fashion</x:v>
      </x:c>
      <x:c r="F52" s="1" t="str">
        <x:v>Backpack</x:v>
      </x:c>
      <x:c r="G52" s="1" t="n">
        <x:v>2</x:v>
      </x:c>
      <x:c r="H52" s="2" t="n">
        <x:v>1300</x:v>
      </x:c>
      <x:c r="I52" s="3" t="n">
        <x:v>0</x:v>
      </x:c>
      <x:c r="J52" s="2" t="n">
        <x:v>650</x:v>
      </x:c>
      <x:c r="K52" s="2" t="n">
        <x:v>120</x:v>
      </x:c>
      <x:c r="L52" s="2" t="n">
        <x:f>G52*H52</x:f>
        <x:v>2600</x:v>
      </x:c>
      <x:c r="M52" s="2" t="n">
        <x:f>ROUND(L52*(1-I52),2)</x:f>
        <x:v>2600</x:v>
      </x:c>
      <x:c r="N52" s="2" t="n">
        <x:f>G52*J52</x:f>
        <x:v>1300</x:v>
      </x:c>
      <x:c r="O52" s="2" t="n">
        <x:f>M52-N52-K52</x:f>
        <x:v>1180</x:v>
      </x:c>
      <x:c r="P52" s="1" t="str">
        <x:f>TEXT(B52,"yyyy-mm")</x:f>
        <x:v>2025-01</x:v>
      </x:c>
    </x:row>
    <x:row r="53">
      <x:c r="A53" s="1" t="str">
        <x:v>ORD-0049</x:v>
      </x:c>
      <x:c r="B53" s="4" t="d">
        <x:v>2025-02-20T00:00:00.000Z</x:v>
      </x:c>
      <x:c r="C53" s="1" t="str">
        <x:v>C-080</x:v>
      </x:c>
      <x:c r="D53" s="1" t="str">
        <x:v>South</x:v>
      </x:c>
      <x:c r="E53" s="1" t="str">
        <x:v>Home</x:v>
      </x:c>
      <x:c r="F53" s="1" t="str">
        <x:v>Storage box</x:v>
      </x:c>
      <x:c r="G53" s="1" t="n">
        <x:v>2</x:v>
      </x:c>
      <x:c r="H53" s="2" t="n">
        <x:v>800</x:v>
      </x:c>
      <x:c r="I53" s="3" t="n">
        <x:v>0.15</x:v>
      </x:c>
      <x:c r="J53" s="2" t="n">
        <x:v>420</x:v>
      </x:c>
      <x:c r="K53" s="2" t="n">
        <x:v>50</x:v>
      </x:c>
      <x:c r="L53" s="2" t="n">
        <x:f>G53*H53</x:f>
        <x:v>1600</x:v>
      </x:c>
      <x:c r="M53" s="2" t="n">
        <x:f>ROUND(L53*(1-I53),2)</x:f>
        <x:v>1360</x:v>
      </x:c>
      <x:c r="N53" s="2" t="n">
        <x:f>G53*J53</x:f>
        <x:v>840</x:v>
      </x:c>
      <x:c r="O53" s="2" t="n">
        <x:f>M53-N53-K53</x:f>
        <x:v>470</x:v>
      </x:c>
      <x:c r="P53" s="1" t="str">
        <x:f>TEXT(B53,"yyyy-mm")</x:f>
        <x:v>2025-02</x:v>
      </x:c>
    </x:row>
    <x:row r="54">
      <x:c r="A54" s="1" t="str">
        <x:v>ORD-0050</x:v>
      </x:c>
      <x:c r="B54" s="4" t="d">
        <x:v>2025-11-24T00:00:00.000Z</x:v>
      </x:c>
      <x:c r="C54" s="1" t="str">
        <x:v>C-171</x:v>
      </x:c>
      <x:c r="D54" s="1" t="str">
        <x:v>West</x:v>
      </x:c>
      <x:c r="E54" s="1" t="str">
        <x:v>Electronics</x:v>
      </x:c>
      <x:c r="F54" s="1" t="str">
        <x:v>Headphones</x:v>
      </x:c>
      <x:c r="G54" s="1" t="n">
        <x:v>2</x:v>
      </x:c>
      <x:c r="H54" s="2" t="n">
        <x:v>2200</x:v>
      </x:c>
      <x:c r="I54" s="3" t="n">
        <x:v>0.05</x:v>
      </x:c>
      <x:c r="J54" s="2" t="n">
        <x:v>1450</x:v>
      </x:c>
      <x:c r="K54" s="2" t="n">
        <x:v>80</x:v>
      </x:c>
      <x:c r="L54" s="2" t="n">
        <x:f>G54*H54</x:f>
        <x:v>4400</x:v>
      </x:c>
      <x:c r="M54" s="2" t="n">
        <x:f>ROUND(L54*(1-I54),2)</x:f>
        <x:v>4180</x:v>
      </x:c>
      <x:c r="N54" s="2" t="n">
        <x:f>G54*J54</x:f>
        <x:v>2900</x:v>
      </x:c>
      <x:c r="O54" s="2" t="n">
        <x:f>M54-N54-K54</x:f>
        <x:v>1200</x:v>
      </x:c>
      <x:c r="P54" s="1" t="str">
        <x:f>TEXT(B54,"yyyy-mm")</x:f>
        <x:v>2025-11</x:v>
      </x:c>
    </x:row>
    <x:row r="55">
      <x:c r="A55" s="1" t="str">
        <x:v>ORD-0051</x:v>
      </x:c>
      <x:c r="B55" s="4" t="d">
        <x:v>2025-03-28T00:00:00.000Z</x:v>
      </x:c>
      <x:c r="C55" s="1" t="str">
        <x:v>C-020</x:v>
      </x:c>
      <x:c r="D55" s="1" t="str">
        <x:v>West</x:v>
      </x:c>
      <x:c r="E55" s="1" t="str">
        <x:v>Electronics</x:v>
      </x:c>
      <x:c r="F55" s="1" t="str">
        <x:v>Keyboard</x:v>
      </x:c>
      <x:c r="G55" s="1" t="n">
        <x:v>2</x:v>
      </x:c>
      <x:c r="H55" s="2" t="n">
        <x:v>1500</x:v>
      </x:c>
      <x:c r="I55" s="3" t="n">
        <x:v>0.15</x:v>
      </x:c>
      <x:c r="J55" s="2" t="n">
        <x:v>900</x:v>
      </x:c>
      <x:c r="K55" s="2" t="n">
        <x:v>50</x:v>
      </x:c>
      <x:c r="L55" s="2" t="n">
        <x:f>G55*H55</x:f>
        <x:v>3000</x:v>
      </x:c>
      <x:c r="M55" s="2" t="n">
        <x:f>ROUND(L55*(1-I55),2)</x:f>
        <x:v>2550</x:v>
      </x:c>
      <x:c r="N55" s="2" t="n">
        <x:f>G55*J55</x:f>
        <x:v>1800</x:v>
      </x:c>
      <x:c r="O55" s="2" t="n">
        <x:f>M55-N55-K55</x:f>
        <x:v>700</x:v>
      </x:c>
      <x:c r="P55" s="1" t="str">
        <x:f>TEXT(B55,"yyyy-mm")</x:f>
        <x:v>2025-03</x:v>
      </x:c>
    </x:row>
    <x:row r="56">
      <x:c r="A56" s="1" t="str">
        <x:v>ORD-0052</x:v>
      </x:c>
      <x:c r="B56" s="4" t="d">
        <x:v>2025-11-10T00:00:00.000Z</x:v>
      </x:c>
      <x:c r="C56" s="1" t="str">
        <x:v>C-117</x:v>
      </x:c>
      <x:c r="D56" s="1" t="str">
        <x:v>South</x:v>
      </x:c>
      <x:c r="E56" s="1" t="str">
        <x:v>Home</x:v>
      </x:c>
      <x:c r="F56" s="1" t="str">
        <x:v>Desk lamp</x:v>
      </x:c>
      <x:c r="G56" s="1" t="n">
        <x:v>1</x:v>
      </x:c>
      <x:c r="H56" s="2" t="n">
        <x:v>1100</x:v>
      </x:c>
      <x:c r="I56" s="3" t="n">
        <x:v>0.1</x:v>
      </x:c>
      <x:c r="J56" s="2" t="n">
        <x:v>650</x:v>
      </x:c>
      <x:c r="K56" s="2" t="n">
        <x:v>120</x:v>
      </x:c>
      <x:c r="L56" s="2" t="n">
        <x:f>G56*H56</x:f>
        <x:v>1100</x:v>
      </x:c>
      <x:c r="M56" s="2" t="n">
        <x:f>ROUND(L56*(1-I56),2)</x:f>
        <x:v>990</x:v>
      </x:c>
      <x:c r="N56" s="2" t="n">
        <x:f>G56*J56</x:f>
        <x:v>650</x:v>
      </x:c>
      <x:c r="O56" s="2" t="n">
        <x:f>M56-N56-K56</x:f>
        <x:v>220</x:v>
      </x:c>
      <x:c r="P56" s="1" t="str">
        <x:f>TEXT(B56,"yyyy-mm")</x:f>
        <x:v>2025-11</x:v>
      </x:c>
    </x:row>
    <x:row r="57">
      <x:c r="A57" s="1" t="str">
        <x:v>ORD-0053</x:v>
      </x:c>
      <x:c r="B57" s="4" t="d">
        <x:v>2025-03-28T00:00:00.000Z</x:v>
      </x:c>
      <x:c r="C57" s="1" t="str">
        <x:v>C-036</x:v>
      </x:c>
      <x:c r="D57" s="1" t="str">
        <x:v>East</x:v>
      </x:c>
      <x:c r="E57" s="1" t="str">
        <x:v>Fashion</x:v>
      </x:c>
      <x:c r="F57" s="1" t="str">
        <x:v>Backpack</x:v>
      </x:c>
      <x:c r="G57" s="1" t="n">
        <x:v>3</x:v>
      </x:c>
      <x:c r="H57" s="2" t="n">
        <x:v>1300</x:v>
      </x:c>
      <x:c r="I57" s="3" t="n">
        <x:v>0.1</x:v>
      </x:c>
      <x:c r="J57" s="2" t="n">
        <x:v>650</x:v>
      </x:c>
      <x:c r="K57" s="2" t="n">
        <x:v>120</x:v>
      </x:c>
      <x:c r="L57" s="2" t="n">
        <x:f>G57*H57</x:f>
        <x:v>3900</x:v>
      </x:c>
      <x:c r="M57" s="2" t="n">
        <x:f>ROUND(L57*(1-I57),2)</x:f>
        <x:v>3510</x:v>
      </x:c>
      <x:c r="N57" s="2" t="n">
        <x:f>G57*J57</x:f>
        <x:v>1950</x:v>
      </x:c>
      <x:c r="O57" s="2" t="n">
        <x:f>M57-N57-K57</x:f>
        <x:v>1440</x:v>
      </x:c>
      <x:c r="P57" s="1" t="str">
        <x:f>TEXT(B57,"yyyy-mm")</x:f>
        <x:v>2025-03</x:v>
      </x:c>
    </x:row>
    <x:row r="58">
      <x:c r="A58" s="1" t="str">
        <x:v>ORD-0054</x:v>
      </x:c>
      <x:c r="B58" s="4" t="d">
        <x:v>2025-08-31T00:00:00.000Z</x:v>
      </x:c>
      <x:c r="C58" s="1" t="str">
        <x:v>C-015</x:v>
      </x:c>
      <x:c r="D58" s="1" t="str">
        <x:v>North</x:v>
      </x:c>
      <x:c r="E58" s="1" t="str">
        <x:v>Home</x:v>
      </x:c>
      <x:c r="F58" s="1" t="str">
        <x:v>Storage box</x:v>
      </x:c>
      <x:c r="G58" s="1" t="n">
        <x:v>3</x:v>
      </x:c>
      <x:c r="H58" s="2" t="n">
        <x:v>800</x:v>
      </x:c>
      <x:c r="I58" s="3" t="n">
        <x:v>0.1</x:v>
      </x:c>
      <x:c r="J58" s="2" t="n">
        <x:v>420</x:v>
      </x:c>
      <x:c r="K58" s="2" t="n">
        <x:v>50</x:v>
      </x:c>
      <x:c r="L58" s="2" t="n">
        <x:f>G58*H58</x:f>
        <x:v>2400</x:v>
      </x:c>
      <x:c r="M58" s="2" t="n">
        <x:f>ROUND(L58*(1-I58),2)</x:f>
        <x:v>2160</x:v>
      </x:c>
      <x:c r="N58" s="2" t="n">
        <x:f>G58*J58</x:f>
        <x:v>1260</x:v>
      </x:c>
      <x:c r="O58" s="2" t="n">
        <x:f>M58-N58-K58</x:f>
        <x:v>850</x:v>
      </x:c>
      <x:c r="P58" s="1" t="str">
        <x:f>TEXT(B58,"yyyy-mm")</x:f>
        <x:v>2025-08</x:v>
      </x:c>
    </x:row>
    <x:row r="59">
      <x:c r="A59" s="1" t="str">
        <x:v>ORD-0055</x:v>
      </x:c>
      <x:c r="B59" s="4" t="d">
        <x:v>2025-09-04T00:00:00.000Z</x:v>
      </x:c>
      <x:c r="C59" s="1" t="str">
        <x:v>C-223</x:v>
      </x:c>
      <x:c r="D59" s="1" t="str">
        <x:v>East</x:v>
      </x:c>
      <x:c r="E59" s="1" t="str">
        <x:v>Fashion</x:v>
      </x:c>
      <x:c r="F59" s="1" t="str">
        <x:v>Sneakers</x:v>
      </x:c>
      <x:c r="G59" s="1" t="n">
        <x:v>3</x:v>
      </x:c>
      <x:c r="H59" s="2" t="n">
        <x:v>2400</x:v>
      </x:c>
      <x:c r="I59" s="3" t="n">
        <x:v>0</x:v>
      </x:c>
      <x:c r="J59" s="2" t="n">
        <x:v>1200</x:v>
      </x:c>
      <x:c r="K59" s="2" t="n">
        <x:v>80</x:v>
      </x:c>
      <x:c r="L59" s="2" t="n">
        <x:f>G59*H59</x:f>
        <x:v>7200</x:v>
      </x:c>
      <x:c r="M59" s="2" t="n">
        <x:f>ROUND(L59*(1-I59),2)</x:f>
        <x:v>7200</x:v>
      </x:c>
      <x:c r="N59" s="2" t="n">
        <x:f>G59*J59</x:f>
        <x:v>3600</x:v>
      </x:c>
      <x:c r="O59" s="2" t="n">
        <x:f>M59-N59-K59</x:f>
        <x:v>3520</x:v>
      </x:c>
      <x:c r="P59" s="1" t="str">
        <x:f>TEXT(B59,"yyyy-mm")</x:f>
        <x:v>2025-09</x:v>
      </x:c>
    </x:row>
    <x:row r="60">
      <x:c r="A60" s="1" t="str">
        <x:v>ORD-0056</x:v>
      </x:c>
      <x:c r="B60" s="4" t="d">
        <x:v>2025-09-13T00:00:00.000Z</x:v>
      </x:c>
      <x:c r="C60" s="1" t="str">
        <x:v>C-296</x:v>
      </x:c>
      <x:c r="D60" s="1" t="str">
        <x:v>South</x:v>
      </x:c>
      <x:c r="E60" s="1" t="str">
        <x:v>Home</x:v>
      </x:c>
      <x:c r="F60" s="1" t="str">
        <x:v>Storage box</x:v>
      </x:c>
      <x:c r="G60" s="1" t="n">
        <x:v>3</x:v>
      </x:c>
      <x:c r="H60" s="2" t="n">
        <x:v>800</x:v>
      </x:c>
      <x:c r="I60" s="3" t="n">
        <x:v>0</x:v>
      </x:c>
      <x:c r="J60" s="2" t="n">
        <x:v>420</x:v>
      </x:c>
      <x:c r="K60" s="2" t="n">
        <x:v>50</x:v>
      </x:c>
      <x:c r="L60" s="2" t="n">
        <x:f>G60*H60</x:f>
        <x:v>2400</x:v>
      </x:c>
      <x:c r="M60" s="2" t="n">
        <x:f>ROUND(L60*(1-I60),2)</x:f>
        <x:v>2400</x:v>
      </x:c>
      <x:c r="N60" s="2" t="n">
        <x:f>G60*J60</x:f>
        <x:v>1260</x:v>
      </x:c>
      <x:c r="O60" s="2" t="n">
        <x:f>M60-N60-K60</x:f>
        <x:v>1090</x:v>
      </x:c>
      <x:c r="P60" s="1" t="str">
        <x:f>TEXT(B60,"yyyy-mm")</x:f>
        <x:v>2025-09</x:v>
      </x:c>
    </x:row>
    <x:row r="61">
      <x:c r="A61" s="1" t="str">
        <x:v>ORD-0057</x:v>
      </x:c>
      <x:c r="B61" s="4" t="d">
        <x:v>2025-10-30T00:00:00.000Z</x:v>
      </x:c>
      <x:c r="C61" s="1" t="str">
        <x:v>C-276</x:v>
      </x:c>
      <x:c r="D61" s="1" t="str">
        <x:v>South</x:v>
      </x:c>
      <x:c r="E61" s="1" t="str">
        <x:v>Electronics</x:v>
      </x:c>
      <x:c r="F61" s="1" t="str">
        <x:v>Headphones</x:v>
      </x:c>
      <x:c r="G61" s="1" t="n">
        <x:v>3</x:v>
      </x:c>
      <x:c r="H61" s="2" t="n">
        <x:v>2200</x:v>
      </x:c>
      <x:c r="I61" s="3" t="n">
        <x:v>0.25</x:v>
      </x:c>
      <x:c r="J61" s="2" t="n">
        <x:v>1450</x:v>
      </x:c>
      <x:c r="K61" s="2" t="n">
        <x:v>80</x:v>
      </x:c>
      <x:c r="L61" s="2" t="n">
        <x:f>G61*H61</x:f>
        <x:v>6600</x:v>
      </x:c>
      <x:c r="M61" s="2" t="n">
        <x:f>ROUND(L61*(1-I61),2)</x:f>
        <x:v>4950</x:v>
      </x:c>
      <x:c r="N61" s="2" t="n">
        <x:f>G61*J61</x:f>
        <x:v>4350</x:v>
      </x:c>
      <x:c r="O61" s="2" t="n">
        <x:f>M61-N61-K61</x:f>
        <x:v>520</x:v>
      </x:c>
      <x:c r="P61" s="1" t="str">
        <x:f>TEXT(B61,"yyyy-mm")</x:f>
        <x:v>2025-10</x:v>
      </x:c>
    </x:row>
    <x:row r="62">
      <x:c r="A62" s="1" t="str">
        <x:v>ORD-0058</x:v>
      </x:c>
      <x:c r="B62" s="4" t="d">
        <x:v>2025-02-11T00:00:00.000Z</x:v>
      </x:c>
      <x:c r="C62" s="1" t="str">
        <x:v>C-064</x:v>
      </x:c>
      <x:c r="D62" s="1" t="str">
        <x:v>East</x:v>
      </x:c>
      <x:c r="E62" s="1" t="str">
        <x:v>Fashion</x:v>
      </x:c>
      <x:c r="F62" s="1" t="str">
        <x:v>Backpack</x:v>
      </x:c>
      <x:c r="G62" s="1" t="n">
        <x:v>3</x:v>
      </x:c>
      <x:c r="H62" s="2" t="n">
        <x:v>1300</x:v>
      </x:c>
      <x:c r="I62" s="3" t="n">
        <x:v>0.25</x:v>
      </x:c>
      <x:c r="J62" s="2" t="n">
        <x:v>650</x:v>
      </x:c>
      <x:c r="K62" s="2" t="n">
        <x:v>120</x:v>
      </x:c>
      <x:c r="L62" s="2" t="n">
        <x:f>G62*H62</x:f>
        <x:v>3900</x:v>
      </x:c>
      <x:c r="M62" s="2" t="n">
        <x:f>ROUND(L62*(1-I62),2)</x:f>
        <x:v>2925</x:v>
      </x:c>
      <x:c r="N62" s="2" t="n">
        <x:f>G62*J62</x:f>
        <x:v>1950</x:v>
      </x:c>
      <x:c r="O62" s="2" t="n">
        <x:f>M62-N62-K62</x:f>
        <x:v>855</x:v>
      </x:c>
      <x:c r="P62" s="1" t="str">
        <x:f>TEXT(B62,"yyyy-mm")</x:f>
        <x:v>2025-02</x:v>
      </x:c>
    </x:row>
    <x:row r="63">
      <x:c r="A63" s="1" t="str">
        <x:v>ORD-0059</x:v>
      </x:c>
      <x:c r="B63" s="4" t="d">
        <x:v>2025-06-10T00:00:00.000Z</x:v>
      </x:c>
      <x:c r="C63" s="1" t="str">
        <x:v>C-284</x:v>
      </x:c>
      <x:c r="D63" s="1" t="str">
        <x:v>South</x:v>
      </x:c>
      <x:c r="E63" s="1" t="str">
        <x:v>Home</x:v>
      </x:c>
      <x:c r="F63" s="1" t="str">
        <x:v>Office chair</x:v>
      </x:c>
      <x:c r="G63" s="1" t="n">
        <x:v>2</x:v>
      </x:c>
      <x:c r="H63" s="2" t="n">
        <x:v>5500</x:v>
      </x:c>
      <x:c r="I63" s="3" t="n">
        <x:v>0.35</x:v>
      </x:c>
      <x:c r="J63" s="2" t="n">
        <x:v>4400</x:v>
      </x:c>
      <x:c r="K63" s="2" t="n">
        <x:v>80</x:v>
      </x:c>
      <x:c r="L63" s="2" t="n">
        <x:f>G63*H63</x:f>
        <x:v>11000</x:v>
      </x:c>
      <x:c r="M63" s="2" t="n">
        <x:f>ROUND(L63*(1-I63),2)</x:f>
        <x:v>7150</x:v>
      </x:c>
      <x:c r="N63" s="2" t="n">
        <x:f>G63*J63</x:f>
        <x:v>8800</x:v>
      </x:c>
      <x:c r="O63" s="2" t="n">
        <x:f>M63-N63-K63</x:f>
        <x:v>-1730</x:v>
      </x:c>
      <x:c r="P63" s="1" t="str">
        <x:f>TEXT(B63,"yyyy-mm")</x:f>
        <x:v>2025-06</x:v>
      </x:c>
    </x:row>
    <x:row r="64">
      <x:c r="A64" s="1" t="str">
        <x:v>ORD-0060</x:v>
      </x:c>
      <x:c r="B64" s="4" t="d">
        <x:v>2025-10-24T00:00:00.000Z</x:v>
      </x:c>
      <x:c r="C64" s="1" t="str">
        <x:v>C-090</x:v>
      </x:c>
      <x:c r="D64" s="1" t="str">
        <x:v>East</x:v>
      </x:c>
      <x:c r="E64" s="1" t="str">
        <x:v>Home</x:v>
      </x:c>
      <x:c r="F64" s="1" t="str">
        <x:v>Office chair</x:v>
      </x:c>
      <x:c r="G64" s="1" t="n">
        <x:v>4</x:v>
      </x:c>
      <x:c r="H64" s="2" t="n">
        <x:v>5500</x:v>
      </x:c>
      <x:c r="I64" s="3" t="n">
        <x:v>0.35</x:v>
      </x:c>
      <x:c r="J64" s="2" t="n">
        <x:v>4400</x:v>
      </x:c>
      <x:c r="K64" s="2" t="n">
        <x:v>120</x:v>
      </x:c>
      <x:c r="L64" s="2" t="n">
        <x:f>G64*H64</x:f>
        <x:v>22000</x:v>
      </x:c>
      <x:c r="M64" s="2" t="n">
        <x:f>ROUND(L64*(1-I64),2)</x:f>
        <x:v>14300</x:v>
      </x:c>
      <x:c r="N64" s="2" t="n">
        <x:f>G64*J64</x:f>
        <x:v>17600</x:v>
      </x:c>
      <x:c r="O64" s="2" t="n">
        <x:f>M64-N64-K64</x:f>
        <x:v>-3420</x:v>
      </x:c>
      <x:c r="P64" s="1" t="str">
        <x:f>TEXT(B64,"yyyy-mm")</x:f>
        <x:v>2025-10</x:v>
      </x:c>
    </x:row>
    <x:row r="65">
      <x:c r="A65" s="1" t="str">
        <x:v>ORD-0061</x:v>
      </x:c>
      <x:c r="B65" s="4" t="d">
        <x:v>2025-11-07T00:00:00.000Z</x:v>
      </x:c>
      <x:c r="C65" s="1" t="str">
        <x:v>C-221</x:v>
      </x:c>
      <x:c r="D65" s="1" t="str">
        <x:v>East</x:v>
      </x:c>
      <x:c r="E65" s="1" t="str">
        <x:v>Fashion</x:v>
      </x:c>
      <x:c r="F65" s="1" t="str">
        <x:v>Sneakers</x:v>
      </x:c>
      <x:c r="G65" s="1" t="n">
        <x:v>4</x:v>
      </x:c>
      <x:c r="H65" s="2" t="n">
        <x:v>2400</x:v>
      </x:c>
      <x:c r="I65" s="3" t="n">
        <x:v>0.1</x:v>
      </x:c>
      <x:c r="J65" s="2" t="n">
        <x:v>1200</x:v>
      </x:c>
      <x:c r="K65" s="2" t="n">
        <x:v>80</x:v>
      </x:c>
      <x:c r="L65" s="2" t="n">
        <x:f>G65*H65</x:f>
        <x:v>9600</x:v>
      </x:c>
      <x:c r="M65" s="2" t="n">
        <x:f>ROUND(L65*(1-I65),2)</x:f>
        <x:v>8640</x:v>
      </x:c>
      <x:c r="N65" s="2" t="n">
        <x:f>G65*J65</x:f>
        <x:v>4800</x:v>
      </x:c>
      <x:c r="O65" s="2" t="n">
        <x:f>M65-N65-K65</x:f>
        <x:v>3760</x:v>
      </x:c>
      <x:c r="P65" s="1" t="str">
        <x:f>TEXT(B65,"yyyy-mm")</x:f>
        <x:v>2025-11</x:v>
      </x:c>
    </x:row>
    <x:row r="66">
      <x:c r="A66" s="1" t="str">
        <x:v>ORD-0062</x:v>
      </x:c>
      <x:c r="B66" s="4" t="d">
        <x:v>2025-07-16T00:00:00.000Z</x:v>
      </x:c>
      <x:c r="C66" s="1" t="str">
        <x:v>C-087</x:v>
      </x:c>
      <x:c r="D66" s="1" t="str">
        <x:v>North</x:v>
      </x:c>
      <x:c r="E66" s="1" t="str">
        <x:v>Fashion</x:v>
      </x:c>
      <x:c r="F66" s="1" t="str">
        <x:v>T-shirt</x:v>
      </x:c>
      <x:c r="G66" s="1" t="n">
        <x:v>3</x:v>
      </x:c>
      <x:c r="H66" s="2" t="n">
        <x:v>700</x:v>
      </x:c>
      <x:c r="I66" s="3" t="n">
        <x:v>0.25</x:v>
      </x:c>
      <x:c r="J66" s="2" t="n">
        <x:v>300</x:v>
      </x:c>
      <x:c r="K66" s="2" t="n">
        <x:v>120</x:v>
      </x:c>
      <x:c r="L66" s="2" t="n">
        <x:f>G66*H66</x:f>
        <x:v>2100</x:v>
      </x:c>
      <x:c r="M66" s="2" t="n">
        <x:f>ROUND(L66*(1-I66),2)</x:f>
        <x:v>1575</x:v>
      </x:c>
      <x:c r="N66" s="2" t="n">
        <x:f>G66*J66</x:f>
        <x:v>900</x:v>
      </x:c>
      <x:c r="O66" s="2" t="n">
        <x:f>M66-N66-K66</x:f>
        <x:v>555</x:v>
      </x:c>
      <x:c r="P66" s="1" t="str">
        <x:f>TEXT(B66,"yyyy-mm")</x:f>
        <x:v>2025-07</x:v>
      </x:c>
    </x:row>
    <x:row r="67">
      <x:c r="A67" s="1" t="str">
        <x:v>ORD-0063</x:v>
      </x:c>
      <x:c r="B67" s="4" t="d">
        <x:v>2025-10-27T00:00:00.000Z</x:v>
      </x:c>
      <x:c r="C67" s="1" t="str">
        <x:v>C-121</x:v>
      </x:c>
      <x:c r="D67" s="1" t="str">
        <x:v>East</x:v>
      </x:c>
      <x:c r="E67" s="1" t="str">
        <x:v>Fashion</x:v>
      </x:c>
      <x:c r="F67" s="1" t="str">
        <x:v>Backpack</x:v>
      </x:c>
      <x:c r="G67" s="1" t="n">
        <x:v>2</x:v>
      </x:c>
      <x:c r="H67" s="2" t="n">
        <x:v>1300</x:v>
      </x:c>
      <x:c r="I67" s="3" t="n">
        <x:v>0</x:v>
      </x:c>
      <x:c r="J67" s="2" t="n">
        <x:v>650</x:v>
      </x:c>
      <x:c r="K67" s="2" t="n">
        <x:v>50</x:v>
      </x:c>
      <x:c r="L67" s="2" t="n">
        <x:f>G67*H67</x:f>
        <x:v>2600</x:v>
      </x:c>
      <x:c r="M67" s="2" t="n">
        <x:f>ROUND(L67*(1-I67),2)</x:f>
        <x:v>2600</x:v>
      </x:c>
      <x:c r="N67" s="2" t="n">
        <x:f>G67*J67</x:f>
        <x:v>1300</x:v>
      </x:c>
      <x:c r="O67" s="2" t="n">
        <x:f>M67-N67-K67</x:f>
        <x:v>1250</x:v>
      </x:c>
      <x:c r="P67" s="1" t="str">
        <x:f>TEXT(B67,"yyyy-mm")</x:f>
        <x:v>2025-10</x:v>
      </x:c>
    </x:row>
    <x:row r="68">
      <x:c r="A68" s="1" t="str">
        <x:v>ORD-0064</x:v>
      </x:c>
      <x:c r="B68" s="4" t="d">
        <x:v>2025-03-16T00:00:00.000Z</x:v>
      </x:c>
      <x:c r="C68" s="1" t="str">
        <x:v>C-038</x:v>
      </x:c>
      <x:c r="D68" s="1" t="str">
        <x:v>West</x:v>
      </x:c>
      <x:c r="E68" s="1" t="str">
        <x:v>Electronics</x:v>
      </x:c>
      <x:c r="F68" s="1" t="str">
        <x:v>Headphones</x:v>
      </x:c>
      <x:c r="G68" s="1" t="n">
        <x:v>4</x:v>
      </x:c>
      <x:c r="H68" s="2" t="n">
        <x:v>2200</x:v>
      </x:c>
      <x:c r="I68" s="3" t="n">
        <x:v>0.05</x:v>
      </x:c>
      <x:c r="J68" s="2" t="n">
        <x:v>1450</x:v>
      </x:c>
      <x:c r="K68" s="2" t="n">
        <x:v>120</x:v>
      </x:c>
      <x:c r="L68" s="2" t="n">
        <x:f>G68*H68</x:f>
        <x:v>8800</x:v>
      </x:c>
      <x:c r="M68" s="2" t="n">
        <x:f>ROUND(L68*(1-I68),2)</x:f>
        <x:v>8360</x:v>
      </x:c>
      <x:c r="N68" s="2" t="n">
        <x:f>G68*J68</x:f>
        <x:v>5800</x:v>
      </x:c>
      <x:c r="O68" s="2" t="n">
        <x:f>M68-N68-K68</x:f>
        <x:v>2440</x:v>
      </x:c>
      <x:c r="P68" s="1" t="str">
        <x:f>TEXT(B68,"yyyy-mm")</x:f>
        <x:v>2025-03</x:v>
      </x:c>
    </x:row>
    <x:row r="69">
      <x:c r="A69" s="1" t="str">
        <x:v>ORD-0065</x:v>
      </x:c>
      <x:c r="B69" s="4" t="d">
        <x:v>2025-09-13T00:00:00.000Z</x:v>
      </x:c>
      <x:c r="C69" s="1" t="str">
        <x:v>C-125</x:v>
      </x:c>
      <x:c r="D69" s="1" t="str">
        <x:v>South</x:v>
      </x:c>
      <x:c r="E69" s="1" t="str">
        <x:v>Home</x:v>
      </x:c>
      <x:c r="F69" s="1" t="str">
        <x:v>Office chair</x:v>
      </x:c>
      <x:c r="G69" s="1" t="n">
        <x:v>1</x:v>
      </x:c>
      <x:c r="H69" s="2" t="n">
        <x:v>5500</x:v>
      </x:c>
      <x:c r="I69" s="3" t="n">
        <x:v>0.15</x:v>
      </x:c>
      <x:c r="J69" s="2" t="n">
        <x:v>4400</x:v>
      </x:c>
      <x:c r="K69" s="2" t="n">
        <x:v>50</x:v>
      </x:c>
      <x:c r="L69" s="2" t="n">
        <x:f>G69*H69</x:f>
        <x:v>5500</x:v>
      </x:c>
      <x:c r="M69" s="2" t="n">
        <x:f>ROUND(L69*(1-I69),2)</x:f>
        <x:v>4675</x:v>
      </x:c>
      <x:c r="N69" s="2" t="n">
        <x:f>G69*J69</x:f>
        <x:v>4400</x:v>
      </x:c>
      <x:c r="O69" s="2" t="n">
        <x:f>M69-N69-K69</x:f>
        <x:v>225</x:v>
      </x:c>
      <x:c r="P69" s="1" t="str">
        <x:f>TEXT(B69,"yyyy-mm")</x:f>
        <x:v>2025-09</x:v>
      </x:c>
    </x:row>
    <x:row r="70">
      <x:c r="A70" s="1" t="str">
        <x:v>ORD-0066</x:v>
      </x:c>
      <x:c r="B70" s="4" t="d">
        <x:v>2025-11-26T00:00:00.000Z</x:v>
      </x:c>
      <x:c r="C70" s="1" t="str">
        <x:v>C-266</x:v>
      </x:c>
      <x:c r="D70" s="1" t="str">
        <x:v>West</x:v>
      </x:c>
      <x:c r="E70" s="1" t="str">
        <x:v>Fashion</x:v>
      </x:c>
      <x:c r="F70" s="1" t="str">
        <x:v>T-shirt</x:v>
      </x:c>
      <x:c r="G70" s="1" t="n">
        <x:v>1</x:v>
      </x:c>
      <x:c r="H70" s="2" t="n">
        <x:v>700</x:v>
      </x:c>
      <x:c r="I70" s="3" t="n">
        <x:v>0.05</x:v>
      </x:c>
      <x:c r="J70" s="2" t="n">
        <x:v>300</x:v>
      </x:c>
      <x:c r="K70" s="2" t="n">
        <x:v>120</x:v>
      </x:c>
      <x:c r="L70" s="2" t="n">
        <x:f>G70*H70</x:f>
        <x:v>700</x:v>
      </x:c>
      <x:c r="M70" s="2" t="n">
        <x:f>ROUND(L70*(1-I70),2)</x:f>
        <x:v>665</x:v>
      </x:c>
      <x:c r="N70" s="2" t="n">
        <x:f>G70*J70</x:f>
        <x:v>300</x:v>
      </x:c>
      <x:c r="O70" s="2" t="n">
        <x:f>M70-N70-K70</x:f>
        <x:v>245</x:v>
      </x:c>
      <x:c r="P70" s="1" t="str">
        <x:f>TEXT(B70,"yyyy-mm")</x:f>
        <x:v>2025-11</x:v>
      </x:c>
    </x:row>
    <x:row r="71">
      <x:c r="A71" s="1" t="str">
        <x:v>ORD-0067</x:v>
      </x:c>
      <x:c r="B71" s="4" t="d">
        <x:v>2025-04-05T00:00:00.000Z</x:v>
      </x:c>
      <x:c r="C71" s="1" t="str">
        <x:v>C-238</x:v>
      </x:c>
      <x:c r="D71" s="1" t="str">
        <x:v>East</x:v>
      </x:c>
      <x:c r="E71" s="1" t="str">
        <x:v>Electronics</x:v>
      </x:c>
      <x:c r="F71" s="1" t="str">
        <x:v>Keyboard</x:v>
      </x:c>
      <x:c r="G71" s="1" t="n">
        <x:v>4</x:v>
      </x:c>
      <x:c r="H71" s="2" t="n">
        <x:v>1500</x:v>
      </x:c>
      <x:c r="I71" s="3" t="n">
        <x:v>0.15</x:v>
      </x:c>
      <x:c r="J71" s="2" t="n">
        <x:v>900</x:v>
      </x:c>
      <x:c r="K71" s="2" t="n">
        <x:v>120</x:v>
      </x:c>
      <x:c r="L71" s="2" t="n">
        <x:f>G71*H71</x:f>
        <x:v>6000</x:v>
      </x:c>
      <x:c r="M71" s="2" t="n">
        <x:f>ROUND(L71*(1-I71),2)</x:f>
        <x:v>5100</x:v>
      </x:c>
      <x:c r="N71" s="2" t="n">
        <x:f>G71*J71</x:f>
        <x:v>3600</x:v>
      </x:c>
      <x:c r="O71" s="2" t="n">
        <x:f>M71-N71-K71</x:f>
        <x:v>1380</x:v>
      </x:c>
      <x:c r="P71" s="1" t="str">
        <x:f>TEXT(B71,"yyyy-mm")</x:f>
        <x:v>2025-04</x:v>
      </x:c>
    </x:row>
    <x:row r="72">
      <x:c r="A72" s="1" t="str">
        <x:v>ORD-0068</x:v>
      </x:c>
      <x:c r="B72" s="4" t="d">
        <x:v>2025-11-27T00:00:00.000Z</x:v>
      </x:c>
      <x:c r="C72" s="1" t="str">
        <x:v>C-281</x:v>
      </x:c>
      <x:c r="D72" s="1" t="str">
        <x:v>West</x:v>
      </x:c>
      <x:c r="E72" s="1" t="str">
        <x:v>Home</x:v>
      </x:c>
      <x:c r="F72" s="1" t="str">
        <x:v>Storage box</x:v>
      </x:c>
      <x:c r="G72" s="1" t="n">
        <x:v>2</x:v>
      </x:c>
      <x:c r="H72" s="2" t="n">
        <x:v>800</x:v>
      </x:c>
      <x:c r="I72" s="3" t="n">
        <x:v>0.15</x:v>
      </x:c>
      <x:c r="J72" s="2" t="n">
        <x:v>420</x:v>
      </x:c>
      <x:c r="K72" s="2" t="n">
        <x:v>120</x:v>
      </x:c>
      <x:c r="L72" s="2" t="n">
        <x:f>G72*H72</x:f>
        <x:v>1600</x:v>
      </x:c>
      <x:c r="M72" s="2" t="n">
        <x:f>ROUND(L72*(1-I72),2)</x:f>
        <x:v>1360</x:v>
      </x:c>
      <x:c r="N72" s="2" t="n">
        <x:f>G72*J72</x:f>
        <x:v>840</x:v>
      </x:c>
      <x:c r="O72" s="2" t="n">
        <x:f>M72-N72-K72</x:f>
        <x:v>400</x:v>
      </x:c>
      <x:c r="P72" s="1" t="str">
        <x:f>TEXT(B72,"yyyy-mm")</x:f>
        <x:v>2025-11</x:v>
      </x:c>
    </x:row>
    <x:row r="73">
      <x:c r="A73" s="1" t="str">
        <x:v>ORD-0069</x:v>
      </x:c>
      <x:c r="B73" s="4" t="d">
        <x:v>2025-11-25T00:00:00.000Z</x:v>
      </x:c>
      <x:c r="C73" s="1" t="str">
        <x:v>C-127</x:v>
      </x:c>
      <x:c r="D73" s="1" t="str">
        <x:v>East</x:v>
      </x:c>
      <x:c r="E73" s="1" t="str">
        <x:v>Home</x:v>
      </x:c>
      <x:c r="F73" s="1" t="str">
        <x:v>Desk lamp</x:v>
      </x:c>
      <x:c r="G73" s="1" t="n">
        <x:v>4</x:v>
      </x:c>
      <x:c r="H73" s="2" t="n">
        <x:v>1100</x:v>
      </x:c>
      <x:c r="I73" s="3" t="n">
        <x:v>0.1</x:v>
      </x:c>
      <x:c r="J73" s="2" t="n">
        <x:v>650</x:v>
      </x:c>
      <x:c r="K73" s="2" t="n">
        <x:v>120</x:v>
      </x:c>
      <x:c r="L73" s="2" t="n">
        <x:f>G73*H73</x:f>
        <x:v>4400</x:v>
      </x:c>
      <x:c r="M73" s="2" t="n">
        <x:f>ROUND(L73*(1-I73),2)</x:f>
        <x:v>3960</x:v>
      </x:c>
      <x:c r="N73" s="2" t="n">
        <x:f>G73*J73</x:f>
        <x:v>2600</x:v>
      </x:c>
      <x:c r="O73" s="2" t="n">
        <x:f>M73-N73-K73</x:f>
        <x:v>1240</x:v>
      </x:c>
      <x:c r="P73" s="1" t="str">
        <x:f>TEXT(B73,"yyyy-mm")</x:f>
        <x:v>2025-11</x:v>
      </x:c>
    </x:row>
    <x:row r="74">
      <x:c r="A74" s="1" t="str">
        <x:v>ORD-0070</x:v>
      </x:c>
      <x:c r="B74" s="4" t="d">
        <x:v>2025-04-23T00:00:00.000Z</x:v>
      </x:c>
      <x:c r="C74" s="1" t="str">
        <x:v>C-147</x:v>
      </x:c>
      <x:c r="D74" s="1" t="str">
        <x:v>South</x:v>
      </x:c>
      <x:c r="E74" s="1" t="str">
        <x:v>Home</x:v>
      </x:c>
      <x:c r="F74" s="1" t="str">
        <x:v>Desk lamp</x:v>
      </x:c>
      <x:c r="G74" s="1" t="n">
        <x:v>3</x:v>
      </x:c>
      <x:c r="H74" s="2" t="n">
        <x:v>1100</x:v>
      </x:c>
      <x:c r="I74" s="3" t="n">
        <x:v>0</x:v>
      </x:c>
      <x:c r="J74" s="2" t="n">
        <x:v>650</x:v>
      </x:c>
      <x:c r="K74" s="2" t="n">
        <x:v>80</x:v>
      </x:c>
      <x:c r="L74" s="2" t="n">
        <x:f>G74*H74</x:f>
        <x:v>3300</x:v>
      </x:c>
      <x:c r="M74" s="2" t="n">
        <x:f>ROUND(L74*(1-I74),2)</x:f>
        <x:v>3300</x:v>
      </x:c>
      <x:c r="N74" s="2" t="n">
        <x:f>G74*J74</x:f>
        <x:v>1950</x:v>
      </x:c>
      <x:c r="O74" s="2" t="n">
        <x:f>M74-N74-K74</x:f>
        <x:v>1270</x:v>
      </x:c>
      <x:c r="P74" s="1" t="str">
        <x:f>TEXT(B74,"yyyy-mm")</x:f>
        <x:v>2025-04</x:v>
      </x:c>
    </x:row>
    <x:row r="75">
      <x:c r="A75" s="1" t="str">
        <x:v>ORD-0071</x:v>
      </x:c>
      <x:c r="B75" s="4" t="d">
        <x:v>2025-05-05T00:00:00.000Z</x:v>
      </x:c>
      <x:c r="C75" s="1" t="str">
        <x:v>C-078</x:v>
      </x:c>
      <x:c r="D75" s="1" t="str">
        <x:v>South</x:v>
      </x:c>
      <x:c r="E75" s="1" t="str">
        <x:v>Home</x:v>
      </x:c>
      <x:c r="F75" s="1" t="str">
        <x:v>Storage box</x:v>
      </x:c>
      <x:c r="G75" s="1" t="n">
        <x:v>4</x:v>
      </x:c>
      <x:c r="H75" s="2" t="n">
        <x:v>800</x:v>
      </x:c>
      <x:c r="I75" s="3" t="n">
        <x:v>0</x:v>
      </x:c>
      <x:c r="J75" s="2" t="n">
        <x:v>420</x:v>
      </x:c>
      <x:c r="K75" s="2" t="n">
        <x:v>120</x:v>
      </x:c>
      <x:c r="L75" s="2" t="n">
        <x:f>G75*H75</x:f>
        <x:v>3200</x:v>
      </x:c>
      <x:c r="M75" s="2" t="n">
        <x:f>ROUND(L75*(1-I75),2)</x:f>
        <x:v>3200</x:v>
      </x:c>
      <x:c r="N75" s="2" t="n">
        <x:f>G75*J75</x:f>
        <x:v>1680</x:v>
      </x:c>
      <x:c r="O75" s="2" t="n">
        <x:f>M75-N75-K75</x:f>
        <x:v>1400</x:v>
      </x:c>
      <x:c r="P75" s="1" t="str">
        <x:f>TEXT(B75,"yyyy-mm")</x:f>
        <x:v>2025-05</x:v>
      </x:c>
    </x:row>
    <x:row r="76">
      <x:c r="A76" s="1" t="str">
        <x:v>ORD-0072</x:v>
      </x:c>
      <x:c r="B76" s="4" t="d">
        <x:v>2025-03-14T00:00:00.000Z</x:v>
      </x:c>
      <x:c r="C76" s="1" t="str">
        <x:v>C-209</x:v>
      </x:c>
      <x:c r="D76" s="1" t="str">
        <x:v>East</x:v>
      </x:c>
      <x:c r="E76" s="1" t="str">
        <x:v>Fashion</x:v>
      </x:c>
      <x:c r="F76" s="1" t="str">
        <x:v>T-shirt</x:v>
      </x:c>
      <x:c r="G76" s="1" t="n">
        <x:v>4</x:v>
      </x:c>
      <x:c r="H76" s="2" t="n">
        <x:v>700</x:v>
      </x:c>
      <x:c r="I76" s="3" t="n">
        <x:v>0</x:v>
      </x:c>
      <x:c r="J76" s="2" t="n">
        <x:v>300</x:v>
      </x:c>
      <x:c r="K76" s="2" t="n">
        <x:v>80</x:v>
      </x:c>
      <x:c r="L76" s="2" t="n">
        <x:f>G76*H76</x:f>
        <x:v>2800</x:v>
      </x:c>
      <x:c r="M76" s="2" t="n">
        <x:f>ROUND(L76*(1-I76),2)</x:f>
        <x:v>2800</x:v>
      </x:c>
      <x:c r="N76" s="2" t="n">
        <x:f>G76*J76</x:f>
        <x:v>1200</x:v>
      </x:c>
      <x:c r="O76" s="2" t="n">
        <x:f>M76-N76-K76</x:f>
        <x:v>1520</x:v>
      </x:c>
      <x:c r="P76" s="1" t="str">
        <x:f>TEXT(B76,"yyyy-mm")</x:f>
        <x:v>2025-03</x:v>
      </x:c>
    </x:row>
    <x:row r="77">
      <x:c r="A77" s="1" t="str">
        <x:v>ORD-0073</x:v>
      </x:c>
      <x:c r="B77" s="4" t="d">
        <x:v>2025-01-29T00:00:00.000Z</x:v>
      </x:c>
      <x:c r="C77" s="1" t="str">
        <x:v>C-300</x:v>
      </x:c>
      <x:c r="D77" s="1" t="str">
        <x:v>North</x:v>
      </x:c>
      <x:c r="E77" s="1" t="str">
        <x:v>Home</x:v>
      </x:c>
      <x:c r="F77" s="1" t="str">
        <x:v>Office chair</x:v>
      </x:c>
      <x:c r="G77" s="1" t="n">
        <x:v>4</x:v>
      </x:c>
      <x:c r="H77" s="2" t="n">
        <x:v>5500</x:v>
      </x:c>
      <x:c r="I77" s="3" t="n">
        <x:v>0.15</x:v>
      </x:c>
      <x:c r="J77" s="2" t="n">
        <x:v>4400</x:v>
      </x:c>
      <x:c r="K77" s="2" t="n">
        <x:v>80</x:v>
      </x:c>
      <x:c r="L77" s="2" t="n">
        <x:f>G77*H77</x:f>
        <x:v>22000</x:v>
      </x:c>
      <x:c r="M77" s="2" t="n">
        <x:f>ROUND(L77*(1-I77),2)</x:f>
        <x:v>18700</x:v>
      </x:c>
      <x:c r="N77" s="2" t="n">
        <x:f>G77*J77</x:f>
        <x:v>17600</x:v>
      </x:c>
      <x:c r="O77" s="2" t="n">
        <x:f>M77-N77-K77</x:f>
        <x:v>1020</x:v>
      </x:c>
      <x:c r="P77" s="1" t="str">
        <x:f>TEXT(B77,"yyyy-mm")</x:f>
        <x:v>2025-01</x:v>
      </x:c>
    </x:row>
    <x:row r="78">
      <x:c r="A78" s="1" t="str">
        <x:v>ORD-0074</x:v>
      </x:c>
      <x:c r="B78" s="4" t="d">
        <x:v>2025-01-25T00:00:00.000Z</x:v>
      </x:c>
      <x:c r="C78" s="1" t="str">
        <x:v>C-200</x:v>
      </x:c>
      <x:c r="D78" s="1" t="str">
        <x:v>West</x:v>
      </x:c>
      <x:c r="E78" s="1" t="str">
        <x:v>Fashion</x:v>
      </x:c>
      <x:c r="F78" s="1" t="str">
        <x:v>Backpack</x:v>
      </x:c>
      <x:c r="G78" s="1" t="n">
        <x:v>2</x:v>
      </x:c>
      <x:c r="H78" s="2" t="n">
        <x:v>1300</x:v>
      </x:c>
      <x:c r="I78" s="3" t="n">
        <x:v>0.1</x:v>
      </x:c>
      <x:c r="J78" s="2" t="n">
        <x:v>650</x:v>
      </x:c>
      <x:c r="K78" s="2" t="n">
        <x:v>80</x:v>
      </x:c>
      <x:c r="L78" s="2" t="n">
        <x:f>G78*H78</x:f>
        <x:v>2600</x:v>
      </x:c>
      <x:c r="M78" s="2" t="n">
        <x:f>ROUND(L78*(1-I78),2)</x:f>
        <x:v>2340</x:v>
      </x:c>
      <x:c r="N78" s="2" t="n">
        <x:f>G78*J78</x:f>
        <x:v>1300</x:v>
      </x:c>
      <x:c r="O78" s="2" t="n">
        <x:f>M78-N78-K78</x:f>
        <x:v>960</x:v>
      </x:c>
      <x:c r="P78" s="1" t="str">
        <x:f>TEXT(B78,"yyyy-mm")</x:f>
        <x:v>2025-01</x:v>
      </x:c>
    </x:row>
    <x:row r="79">
      <x:c r="A79" s="1" t="str">
        <x:v>ORD-0075</x:v>
      </x:c>
      <x:c r="B79" s="4" t="d">
        <x:v>2025-04-01T00:00:00.000Z</x:v>
      </x:c>
      <x:c r="C79" s="1" t="str">
        <x:v>C-200</x:v>
      </x:c>
      <x:c r="D79" s="1" t="str">
        <x:v>East</x:v>
      </x:c>
      <x:c r="E79" s="1" t="str">
        <x:v>Home</x:v>
      </x:c>
      <x:c r="F79" s="1" t="str">
        <x:v>Office chair</x:v>
      </x:c>
      <x:c r="G79" s="1" t="n">
        <x:v>4</x:v>
      </x:c>
      <x:c r="H79" s="2" t="n">
        <x:v>5500</x:v>
      </x:c>
      <x:c r="I79" s="3" t="n">
        <x:v>0.15</x:v>
      </x:c>
      <x:c r="J79" s="2" t="n">
        <x:v>4400</x:v>
      </x:c>
      <x:c r="K79" s="2" t="n">
        <x:v>120</x:v>
      </x:c>
      <x:c r="L79" s="2" t="n">
        <x:f>G79*H79</x:f>
        <x:v>22000</x:v>
      </x:c>
      <x:c r="M79" s="2" t="n">
        <x:f>ROUND(L79*(1-I79),2)</x:f>
        <x:v>18700</x:v>
      </x:c>
      <x:c r="N79" s="2" t="n">
        <x:f>G79*J79</x:f>
        <x:v>17600</x:v>
      </x:c>
      <x:c r="O79" s="2" t="n">
        <x:f>M79-N79-K79</x:f>
        <x:v>980</x:v>
      </x:c>
      <x:c r="P79" s="1" t="str">
        <x:f>TEXT(B79,"yyyy-mm")</x:f>
        <x:v>2025-04</x:v>
      </x:c>
    </x:row>
    <x:row r="80">
      <x:c r="A80" s="1" t="str">
        <x:v>ORD-0076</x:v>
      </x:c>
      <x:c r="B80" s="4" t="d">
        <x:v>2025-03-20T00:00:00.000Z</x:v>
      </x:c>
      <x:c r="C80" s="1" t="str">
        <x:v>C-274</x:v>
      </x:c>
      <x:c r="D80" s="1" t="str">
        <x:v>North</x:v>
      </x:c>
      <x:c r="E80" s="1" t="str">
        <x:v>Home</x:v>
      </x:c>
      <x:c r="F80" s="1" t="str">
        <x:v>Desk lamp</x:v>
      </x:c>
      <x:c r="G80" s="1" t="n">
        <x:v>4</x:v>
      </x:c>
      <x:c r="H80" s="2" t="n">
        <x:v>1100</x:v>
      </x:c>
      <x:c r="I80" s="3" t="n">
        <x:v>0.05</x:v>
      </x:c>
      <x:c r="J80" s="2" t="n">
        <x:v>650</x:v>
      </x:c>
      <x:c r="K80" s="2" t="n">
        <x:v>120</x:v>
      </x:c>
      <x:c r="L80" s="2" t="n">
        <x:f>G80*H80</x:f>
        <x:v>4400</x:v>
      </x:c>
      <x:c r="M80" s="2" t="n">
        <x:f>ROUND(L80*(1-I80),2)</x:f>
        <x:v>4180</x:v>
      </x:c>
      <x:c r="N80" s="2" t="n">
        <x:f>G80*J80</x:f>
        <x:v>2600</x:v>
      </x:c>
      <x:c r="O80" s="2" t="n">
        <x:f>M80-N80-K80</x:f>
        <x:v>1460</x:v>
      </x:c>
      <x:c r="P80" s="1" t="str">
        <x:f>TEXT(B80,"yyyy-mm")</x:f>
        <x:v>2025-03</x:v>
      </x:c>
    </x:row>
    <x:row r="81">
      <x:c r="A81" s="1" t="str">
        <x:v>ORD-0077</x:v>
      </x:c>
      <x:c r="B81" s="4" t="d">
        <x:v>2025-08-21T00:00:00.000Z</x:v>
      </x:c>
      <x:c r="C81" s="1" t="str">
        <x:v>C-220</x:v>
      </x:c>
      <x:c r="D81" s="1" t="str">
        <x:v>South</x:v>
      </x:c>
      <x:c r="E81" s="1" t="str">
        <x:v>Electronics</x:v>
      </x:c>
      <x:c r="F81" s="1" t="str">
        <x:v>Headphones</x:v>
      </x:c>
      <x:c r="G81" s="1" t="n">
        <x:v>4</x:v>
      </x:c>
      <x:c r="H81" s="2" t="n">
        <x:v>2200</x:v>
      </x:c>
      <x:c r="I81" s="3" t="n">
        <x:v>0</x:v>
      </x:c>
      <x:c r="J81" s="2" t="n">
        <x:v>1450</x:v>
      </x:c>
      <x:c r="K81" s="2" t="n">
        <x:v>50</x:v>
      </x:c>
      <x:c r="L81" s="2" t="n">
        <x:f>G81*H81</x:f>
        <x:v>8800</x:v>
      </x:c>
      <x:c r="M81" s="2" t="n">
        <x:f>ROUND(L81*(1-I81),2)</x:f>
        <x:v>8800</x:v>
      </x:c>
      <x:c r="N81" s="2" t="n">
        <x:f>G81*J81</x:f>
        <x:v>5800</x:v>
      </x:c>
      <x:c r="O81" s="2" t="n">
        <x:f>M81-N81-K81</x:f>
        <x:v>2950</x:v>
      </x:c>
      <x:c r="P81" s="1" t="str">
        <x:f>TEXT(B81,"yyyy-mm")</x:f>
        <x:v>2025-08</x:v>
      </x:c>
    </x:row>
    <x:row r="82">
      <x:c r="A82" s="1" t="str">
        <x:v>ORD-0078</x:v>
      </x:c>
      <x:c r="B82" s="4" t="d">
        <x:v>2025-01-07T00:00:00.000Z</x:v>
      </x:c>
      <x:c r="C82" s="1" t="str">
        <x:v>C-233</x:v>
      </x:c>
      <x:c r="D82" s="1" t="str">
        <x:v>East</x:v>
      </x:c>
      <x:c r="E82" s="1" t="str">
        <x:v>Home</x:v>
      </x:c>
      <x:c r="F82" s="1" t="str">
        <x:v>Office chair</x:v>
      </x:c>
      <x:c r="G82" s="1" t="n">
        <x:v>3</x:v>
      </x:c>
      <x:c r="H82" s="2" t="n">
        <x:v>5500</x:v>
      </x:c>
      <x:c r="I82" s="3" t="n">
        <x:v>0.1</x:v>
      </x:c>
      <x:c r="J82" s="2" t="n">
        <x:v>4400</x:v>
      </x:c>
      <x:c r="K82" s="2" t="n">
        <x:v>80</x:v>
      </x:c>
      <x:c r="L82" s="2" t="n">
        <x:f>G82*H82</x:f>
        <x:v>16500</x:v>
      </x:c>
      <x:c r="M82" s="2" t="n">
        <x:f>ROUND(L82*(1-I82),2)</x:f>
        <x:v>14850</x:v>
      </x:c>
      <x:c r="N82" s="2" t="n">
        <x:f>G82*J82</x:f>
        <x:v>13200</x:v>
      </x:c>
      <x:c r="O82" s="2" t="n">
        <x:f>M82-N82-K82</x:f>
        <x:v>1570</x:v>
      </x:c>
      <x:c r="P82" s="1" t="str">
        <x:f>TEXT(B82,"yyyy-mm")</x:f>
        <x:v>2025-01</x:v>
      </x:c>
    </x:row>
    <x:row r="83">
      <x:c r="A83" s="1" t="str">
        <x:v>ORD-0079</x:v>
      </x:c>
      <x:c r="B83" s="4" t="d">
        <x:v>2025-05-27T00:00:00.000Z</x:v>
      </x:c>
      <x:c r="C83" s="1" t="str">
        <x:v>C-042</x:v>
      </x:c>
      <x:c r="D83" s="1" t="str">
        <x:v>West</x:v>
      </x:c>
      <x:c r="E83" s="1" t="str">
        <x:v>Home</x:v>
      </x:c>
      <x:c r="F83" s="1" t="str">
        <x:v>Office chair</x:v>
      </x:c>
      <x:c r="G83" s="1" t="n">
        <x:v>1</x:v>
      </x:c>
      <x:c r="H83" s="2" t="n">
        <x:v>5500</x:v>
      </x:c>
      <x:c r="I83" s="3" t="n">
        <x:v>0.1</x:v>
      </x:c>
      <x:c r="J83" s="2" t="n">
        <x:v>4400</x:v>
      </x:c>
      <x:c r="K83" s="2" t="n">
        <x:v>120</x:v>
      </x:c>
      <x:c r="L83" s="2" t="n">
        <x:f>G83*H83</x:f>
        <x:v>5500</x:v>
      </x:c>
      <x:c r="M83" s="2" t="n">
        <x:f>ROUND(L83*(1-I83),2)</x:f>
        <x:v>4950</x:v>
      </x:c>
      <x:c r="N83" s="2" t="n">
        <x:f>G83*J83</x:f>
        <x:v>4400</x:v>
      </x:c>
      <x:c r="O83" s="2" t="n">
        <x:f>M83-N83-K83</x:f>
        <x:v>430</x:v>
      </x:c>
      <x:c r="P83" s="1" t="str">
        <x:f>TEXT(B83,"yyyy-mm")</x:f>
        <x:v>2025-05</x:v>
      </x:c>
    </x:row>
    <x:row r="84">
      <x:c r="A84" s="1" t="str">
        <x:v>ORD-0080</x:v>
      </x:c>
      <x:c r="B84" s="4" t="d">
        <x:v>2025-08-21T00:00:00.000Z</x:v>
      </x:c>
      <x:c r="C84" s="1" t="str">
        <x:v>C-036</x:v>
      </x:c>
      <x:c r="D84" s="1" t="str">
        <x:v>North</x:v>
      </x:c>
      <x:c r="E84" s="1" t="str">
        <x:v>Fashion</x:v>
      </x:c>
      <x:c r="F84" s="1" t="str">
        <x:v>Backpack</x:v>
      </x:c>
      <x:c r="G84" s="1" t="n">
        <x:v>1</x:v>
      </x:c>
      <x:c r="H84" s="2" t="n">
        <x:v>1300</x:v>
      </x:c>
      <x:c r="I84" s="3" t="n">
        <x:v>0.05</x:v>
      </x:c>
      <x:c r="J84" s="2" t="n">
        <x:v>650</x:v>
      </x:c>
      <x:c r="K84" s="2" t="n">
        <x:v>50</x:v>
      </x:c>
      <x:c r="L84" s="2" t="n">
        <x:f>G84*H84</x:f>
        <x:v>1300</x:v>
      </x:c>
      <x:c r="M84" s="2" t="n">
        <x:f>ROUND(L84*(1-I84),2)</x:f>
        <x:v>1235</x:v>
      </x:c>
      <x:c r="N84" s="2" t="n">
        <x:f>G84*J84</x:f>
        <x:v>650</x:v>
      </x:c>
      <x:c r="O84" s="2" t="n">
        <x:f>M84-N84-K84</x:f>
        <x:v>535</x:v>
      </x:c>
      <x:c r="P84" s="1" t="str">
        <x:f>TEXT(B84,"yyyy-mm")</x:f>
        <x:v>2025-08</x:v>
      </x:c>
    </x:row>
    <x:row r="85">
      <x:c r="A85" s="1" t="str">
        <x:v>ORD-0081</x:v>
      </x:c>
      <x:c r="B85" s="4" t="d">
        <x:v>2025-04-05T00:00:00.000Z</x:v>
      </x:c>
      <x:c r="C85" s="1" t="str">
        <x:v>C-123</x:v>
      </x:c>
      <x:c r="D85" s="1" t="str">
        <x:v>South</x:v>
      </x:c>
      <x:c r="E85" s="1" t="str">
        <x:v>Electronics</x:v>
      </x:c>
      <x:c r="F85" s="1" t="str">
        <x:v>Headphones</x:v>
      </x:c>
      <x:c r="G85" s="1" t="n">
        <x:v>4</x:v>
      </x:c>
      <x:c r="H85" s="2" t="n">
        <x:v>2200</x:v>
      </x:c>
      <x:c r="I85" s="3" t="n">
        <x:v>0.25</x:v>
      </x:c>
      <x:c r="J85" s="2" t="n">
        <x:v>1450</x:v>
      </x:c>
      <x:c r="K85" s="2" t="n">
        <x:v>120</x:v>
      </x:c>
      <x:c r="L85" s="2" t="n">
        <x:f>G85*H85</x:f>
        <x:v>8800</x:v>
      </x:c>
      <x:c r="M85" s="2" t="n">
        <x:f>ROUND(L85*(1-I85),2)</x:f>
        <x:v>6600</x:v>
      </x:c>
      <x:c r="N85" s="2" t="n">
        <x:f>G85*J85</x:f>
        <x:v>5800</x:v>
      </x:c>
      <x:c r="O85" s="2" t="n">
        <x:f>M85-N85-K85</x:f>
        <x:v>680</x:v>
      </x:c>
      <x:c r="P85" s="1" t="str">
        <x:f>TEXT(B85,"yyyy-mm")</x:f>
        <x:v>2025-04</x:v>
      </x:c>
    </x:row>
    <x:row r="86">
      <x:c r="A86" s="1" t="str">
        <x:v>ORD-0082</x:v>
      </x:c>
      <x:c r="B86" s="4" t="d">
        <x:v>2025-02-23T00:00:00.000Z</x:v>
      </x:c>
      <x:c r="C86" s="1" t="str">
        <x:v>C-132</x:v>
      </x:c>
      <x:c r="D86" s="1" t="str">
        <x:v>East</x:v>
      </x:c>
      <x:c r="E86" s="1" t="str">
        <x:v>Fashion</x:v>
      </x:c>
      <x:c r="F86" s="1" t="str">
        <x:v>T-shirt</x:v>
      </x:c>
      <x:c r="G86" s="1" t="n">
        <x:v>2</x:v>
      </x:c>
      <x:c r="H86" s="2" t="n">
        <x:v>700</x:v>
      </x:c>
      <x:c r="I86" s="3" t="n">
        <x:v>0.15</x:v>
      </x:c>
      <x:c r="J86" s="2" t="n">
        <x:v>300</x:v>
      </x:c>
      <x:c r="K86" s="2" t="n">
        <x:v>120</x:v>
      </x:c>
      <x:c r="L86" s="2" t="n">
        <x:f>G86*H86</x:f>
        <x:v>1400</x:v>
      </x:c>
      <x:c r="M86" s="2" t="n">
        <x:f>ROUND(L86*(1-I86),2)</x:f>
        <x:v>1190</x:v>
      </x:c>
      <x:c r="N86" s="2" t="n">
        <x:f>G86*J86</x:f>
        <x:v>600</x:v>
      </x:c>
      <x:c r="O86" s="2" t="n">
        <x:f>M86-N86-K86</x:f>
        <x:v>470</x:v>
      </x:c>
      <x:c r="P86" s="1" t="str">
        <x:f>TEXT(B86,"yyyy-mm")</x:f>
        <x:v>2025-02</x:v>
      </x:c>
    </x:row>
    <x:row r="87">
      <x:c r="A87" s="1" t="str">
        <x:v>ORD-0083</x:v>
      </x:c>
      <x:c r="B87" s="4" t="d">
        <x:v>2025-09-10T00:00:00.000Z</x:v>
      </x:c>
      <x:c r="C87" s="1" t="str">
        <x:v>C-056</x:v>
      </x:c>
      <x:c r="D87" s="1" t="str">
        <x:v>North</x:v>
      </x:c>
      <x:c r="E87" s="1" t="str">
        <x:v>Electronics</x:v>
      </x:c>
      <x:c r="F87" s="1" t="str">
        <x:v>Keyboard</x:v>
      </x:c>
      <x:c r="G87" s="1" t="n">
        <x:v>3</x:v>
      </x:c>
      <x:c r="H87" s="2" t="n">
        <x:v>1500</x:v>
      </x:c>
      <x:c r="I87" s="3" t="n">
        <x:v>0.05</x:v>
      </x:c>
      <x:c r="J87" s="2" t="n">
        <x:v>900</x:v>
      </x:c>
      <x:c r="K87" s="2" t="n">
        <x:v>120</x:v>
      </x:c>
      <x:c r="L87" s="2" t="n">
        <x:f>G87*H87</x:f>
        <x:v>4500</x:v>
      </x:c>
      <x:c r="M87" s="2" t="n">
        <x:f>ROUND(L87*(1-I87),2)</x:f>
        <x:v>4275</x:v>
      </x:c>
      <x:c r="N87" s="2" t="n">
        <x:f>G87*J87</x:f>
        <x:v>2700</x:v>
      </x:c>
      <x:c r="O87" s="2" t="n">
        <x:f>M87-N87-K87</x:f>
        <x:v>1455</x:v>
      </x:c>
      <x:c r="P87" s="1" t="str">
        <x:f>TEXT(B87,"yyyy-mm")</x:f>
        <x:v>2025-09</x:v>
      </x:c>
    </x:row>
    <x:row r="88">
      <x:c r="A88" s="1" t="str">
        <x:v>ORD-0084</x:v>
      </x:c>
      <x:c r="B88" s="4" t="d">
        <x:v>2025-10-31T00:00:00.000Z</x:v>
      </x:c>
      <x:c r="C88" s="1" t="str">
        <x:v>C-102</x:v>
      </x:c>
      <x:c r="D88" s="1" t="str">
        <x:v>North</x:v>
      </x:c>
      <x:c r="E88" s="1" t="str">
        <x:v>Home</x:v>
      </x:c>
      <x:c r="F88" s="1" t="str">
        <x:v>Office chair</x:v>
      </x:c>
      <x:c r="G88" s="1" t="n">
        <x:v>2</x:v>
      </x:c>
      <x:c r="H88" s="2" t="n">
        <x:v>5500</x:v>
      </x:c>
      <x:c r="I88" s="3" t="n">
        <x:v>0.15</x:v>
      </x:c>
      <x:c r="J88" s="2" t="n">
        <x:v>4400</x:v>
      </x:c>
      <x:c r="K88" s="2" t="n">
        <x:v>50</x:v>
      </x:c>
      <x:c r="L88" s="2" t="n">
        <x:f>G88*H88</x:f>
        <x:v>11000</x:v>
      </x:c>
      <x:c r="M88" s="2" t="n">
        <x:f>ROUND(L88*(1-I88),2)</x:f>
        <x:v>9350</x:v>
      </x:c>
      <x:c r="N88" s="2" t="n">
        <x:f>G88*J88</x:f>
        <x:v>8800</x:v>
      </x:c>
      <x:c r="O88" s="2" t="n">
        <x:f>M88-N88-K88</x:f>
        <x:v>500</x:v>
      </x:c>
      <x:c r="P88" s="1" t="str">
        <x:f>TEXT(B88,"yyyy-mm")</x:f>
        <x:v>2025-10</x:v>
      </x:c>
    </x:row>
    <x:row r="89">
      <x:c r="A89" s="1" t="str">
        <x:v>ORD-0085</x:v>
      </x:c>
      <x:c r="B89" s="4" t="d">
        <x:v>2025-10-20T00:00:00.000Z</x:v>
      </x:c>
      <x:c r="C89" s="1" t="str">
        <x:v>C-062</x:v>
      </x:c>
      <x:c r="D89" s="1" t="str">
        <x:v>North</x:v>
      </x:c>
      <x:c r="E89" s="1" t="str">
        <x:v>Fashion</x:v>
      </x:c>
      <x:c r="F89" s="1" t="str">
        <x:v>Sneakers</x:v>
      </x:c>
      <x:c r="G89" s="1" t="n">
        <x:v>3</x:v>
      </x:c>
      <x:c r="H89" s="2" t="n">
        <x:v>2400</x:v>
      </x:c>
      <x:c r="I89" s="3" t="n">
        <x:v>0.35</x:v>
      </x:c>
      <x:c r="J89" s="2" t="n">
        <x:v>1200</x:v>
      </x:c>
      <x:c r="K89" s="2" t="n">
        <x:v>120</x:v>
      </x:c>
      <x:c r="L89" s="2" t="n">
        <x:f>G89*H89</x:f>
        <x:v>7200</x:v>
      </x:c>
      <x:c r="M89" s="2" t="n">
        <x:f>ROUND(L89*(1-I89),2)</x:f>
        <x:v>4680</x:v>
      </x:c>
      <x:c r="N89" s="2" t="n">
        <x:f>G89*J89</x:f>
        <x:v>3600</x:v>
      </x:c>
      <x:c r="O89" s="2" t="n">
        <x:f>M89-N89-K89</x:f>
        <x:v>960</x:v>
      </x:c>
      <x:c r="P89" s="1" t="str">
        <x:f>TEXT(B89,"yyyy-mm")</x:f>
        <x:v>2025-10</x:v>
      </x:c>
    </x:row>
    <x:row r="90">
      <x:c r="A90" s="1" t="str">
        <x:v>ORD-0086</x:v>
      </x:c>
      <x:c r="B90" s="4" t="d">
        <x:v>2025-07-17T00:00:00.000Z</x:v>
      </x:c>
      <x:c r="C90" s="1" t="str">
        <x:v>C-175</x:v>
      </x:c>
      <x:c r="D90" s="1" t="str">
        <x:v>North</x:v>
      </x:c>
      <x:c r="E90" s="1" t="str">
        <x:v>Fashion</x:v>
      </x:c>
      <x:c r="F90" s="1" t="str">
        <x:v>Backpack</x:v>
      </x:c>
      <x:c r="G90" s="1" t="n">
        <x:v>4</x:v>
      </x:c>
      <x:c r="H90" s="2" t="n">
        <x:v>1300</x:v>
      </x:c>
      <x:c r="I90" s="3" t="n">
        <x:v>0</x:v>
      </x:c>
      <x:c r="J90" s="2" t="n">
        <x:v>650</x:v>
      </x:c>
      <x:c r="K90" s="2" t="n">
        <x:v>80</x:v>
      </x:c>
      <x:c r="L90" s="2" t="n">
        <x:f>G90*H90</x:f>
        <x:v>5200</x:v>
      </x:c>
      <x:c r="M90" s="2" t="n">
        <x:f>ROUND(L90*(1-I90),2)</x:f>
        <x:v>5200</x:v>
      </x:c>
      <x:c r="N90" s="2" t="n">
        <x:f>G90*J90</x:f>
        <x:v>2600</x:v>
      </x:c>
      <x:c r="O90" s="2" t="n">
        <x:f>M90-N90-K90</x:f>
        <x:v>2520</x:v>
      </x:c>
      <x:c r="P90" s="1" t="str">
        <x:f>TEXT(B90,"yyyy-mm")</x:f>
        <x:v>2025-07</x:v>
      </x:c>
    </x:row>
    <x:row r="91">
      <x:c r="A91" s="1" t="str">
        <x:v>ORD-0087</x:v>
      </x:c>
      <x:c r="B91" s="4" t="d">
        <x:v>2025-02-27T00:00:00.000Z</x:v>
      </x:c>
      <x:c r="C91" s="1" t="str">
        <x:v>C-236</x:v>
      </x:c>
      <x:c r="D91" s="1" t="str">
        <x:v>South</x:v>
      </x:c>
      <x:c r="E91" s="1" t="str">
        <x:v>Fashion</x:v>
      </x:c>
      <x:c r="F91" s="1" t="str">
        <x:v>Backpack</x:v>
      </x:c>
      <x:c r="G91" s="1" t="n">
        <x:v>4</x:v>
      </x:c>
      <x:c r="H91" s="2" t="n">
        <x:v>1300</x:v>
      </x:c>
      <x:c r="I91" s="3" t="n">
        <x:v>0.35</x:v>
      </x:c>
      <x:c r="J91" s="2" t="n">
        <x:v>650</x:v>
      </x:c>
      <x:c r="K91" s="2" t="n">
        <x:v>50</x:v>
      </x:c>
      <x:c r="L91" s="2" t="n">
        <x:f>G91*H91</x:f>
        <x:v>5200</x:v>
      </x:c>
      <x:c r="M91" s="2" t="n">
        <x:f>ROUND(L91*(1-I91),2)</x:f>
        <x:v>3380</x:v>
      </x:c>
      <x:c r="N91" s="2" t="n">
        <x:f>G91*J91</x:f>
        <x:v>2600</x:v>
      </x:c>
      <x:c r="O91" s="2" t="n">
        <x:f>M91-N91-K91</x:f>
        <x:v>730</x:v>
      </x:c>
      <x:c r="P91" s="1" t="str">
        <x:f>TEXT(B91,"yyyy-mm")</x:f>
        <x:v>2025-02</x:v>
      </x:c>
    </x:row>
    <x:row r="92">
      <x:c r="A92" s="1" t="str">
        <x:v>ORD-0088</x:v>
      </x:c>
      <x:c r="B92" s="4" t="d">
        <x:v>2025-10-26T00:00:00.000Z</x:v>
      </x:c>
      <x:c r="C92" s="1" t="str">
        <x:v>C-276</x:v>
      </x:c>
      <x:c r="D92" s="1" t="str">
        <x:v>West</x:v>
      </x:c>
      <x:c r="E92" s="1" t="str">
        <x:v>Fashion</x:v>
      </x:c>
      <x:c r="F92" s="1" t="str">
        <x:v>Sneakers</x:v>
      </x:c>
      <x:c r="G92" s="1" t="n">
        <x:v>4</x:v>
      </x:c>
      <x:c r="H92" s="2" t="n">
        <x:v>2400</x:v>
      </x:c>
      <x:c r="I92" s="3" t="n">
        <x:v>0.25</x:v>
      </x:c>
      <x:c r="J92" s="2" t="n">
        <x:v>1200</x:v>
      </x:c>
      <x:c r="K92" s="2" t="n">
        <x:v>80</x:v>
      </x:c>
      <x:c r="L92" s="2" t="n">
        <x:f>G92*H92</x:f>
        <x:v>9600</x:v>
      </x:c>
      <x:c r="M92" s="2" t="n">
        <x:f>ROUND(L92*(1-I92),2)</x:f>
        <x:v>7200</x:v>
      </x:c>
      <x:c r="N92" s="2" t="n">
        <x:f>G92*J92</x:f>
        <x:v>4800</x:v>
      </x:c>
      <x:c r="O92" s="2" t="n">
        <x:f>M92-N92-K92</x:f>
        <x:v>2320</x:v>
      </x:c>
      <x:c r="P92" s="1" t="str">
        <x:f>TEXT(B92,"yyyy-mm")</x:f>
        <x:v>2025-10</x:v>
      </x:c>
    </x:row>
    <x:row r="93">
      <x:c r="A93" s="1" t="str">
        <x:v>ORD-0089</x:v>
      </x:c>
      <x:c r="B93" s="4" t="d">
        <x:v>2025-11-28T00:00:00.000Z</x:v>
      </x:c>
      <x:c r="C93" s="1" t="str">
        <x:v>C-126</x:v>
      </x:c>
      <x:c r="D93" s="1" t="str">
        <x:v>North</x:v>
      </x:c>
      <x:c r="E93" s="1" t="str">
        <x:v>Fashion</x:v>
      </x:c>
      <x:c r="F93" s="1" t="str">
        <x:v>Sneakers</x:v>
      </x:c>
      <x:c r="G93" s="1" t="n">
        <x:v>3</x:v>
      </x:c>
      <x:c r="H93" s="2" t="n">
        <x:v>2400</x:v>
      </x:c>
      <x:c r="I93" s="3" t="n">
        <x:v>0.1</x:v>
      </x:c>
      <x:c r="J93" s="2" t="n">
        <x:v>1200</x:v>
      </x:c>
      <x:c r="K93" s="2" t="n">
        <x:v>80</x:v>
      </x:c>
      <x:c r="L93" s="2" t="n">
        <x:f>G93*H93</x:f>
        <x:v>7200</x:v>
      </x:c>
      <x:c r="M93" s="2" t="n">
        <x:f>ROUND(L93*(1-I93),2)</x:f>
        <x:v>6480</x:v>
      </x:c>
      <x:c r="N93" s="2" t="n">
        <x:f>G93*J93</x:f>
        <x:v>3600</x:v>
      </x:c>
      <x:c r="O93" s="2" t="n">
        <x:f>M93-N93-K93</x:f>
        <x:v>2800</x:v>
      </x:c>
      <x:c r="P93" s="1" t="str">
        <x:f>TEXT(B93,"yyyy-mm")</x:f>
        <x:v>2025-11</x:v>
      </x:c>
    </x:row>
    <x:row r="94">
      <x:c r="A94" s="1" t="str">
        <x:v>ORD-0090</x:v>
      </x:c>
      <x:c r="B94" s="4" t="d">
        <x:v>2025-04-20T00:00:00.000Z</x:v>
      </x:c>
      <x:c r="C94" s="1" t="str">
        <x:v>C-195</x:v>
      </x:c>
      <x:c r="D94" s="1" t="str">
        <x:v>East</x:v>
      </x:c>
      <x:c r="E94" s="1" t="str">
        <x:v>Home</x:v>
      </x:c>
      <x:c r="F94" s="1" t="str">
        <x:v>Desk lamp</x:v>
      </x:c>
      <x:c r="G94" s="1" t="n">
        <x:v>1</x:v>
      </x:c>
      <x:c r="H94" s="2" t="n">
        <x:v>1100</x:v>
      </x:c>
      <x:c r="I94" s="3" t="n">
        <x:v>0.25</x:v>
      </x:c>
      <x:c r="J94" s="2" t="n">
        <x:v>650</x:v>
      </x:c>
      <x:c r="K94" s="2" t="n">
        <x:v>80</x:v>
      </x:c>
      <x:c r="L94" s="2" t="n">
        <x:f>G94*H94</x:f>
        <x:v>1100</x:v>
      </x:c>
      <x:c r="M94" s="2" t="n">
        <x:f>ROUND(L94*(1-I94),2)</x:f>
        <x:v>825</x:v>
      </x:c>
      <x:c r="N94" s="2" t="n">
        <x:f>G94*J94</x:f>
        <x:v>650</x:v>
      </x:c>
      <x:c r="O94" s="2" t="n">
        <x:f>M94-N94-K94</x:f>
        <x:v>95</x:v>
      </x:c>
      <x:c r="P94" s="1" t="str">
        <x:f>TEXT(B94,"yyyy-mm")</x:f>
        <x:v>2025-04</x:v>
      </x:c>
    </x:row>
    <x:row r="95">
      <x:c r="A95" s="1" t="str">
        <x:v>ORD-0091</x:v>
      </x:c>
      <x:c r="B95" s="4" t="d">
        <x:v>2025-11-07T00:00:00.000Z</x:v>
      </x:c>
      <x:c r="C95" s="1" t="str">
        <x:v>C-182</x:v>
      </x:c>
      <x:c r="D95" s="1" t="str">
        <x:v>East</x:v>
      </x:c>
      <x:c r="E95" s="1" t="str">
        <x:v>Electronics</x:v>
      </x:c>
      <x:c r="F95" s="1" t="str">
        <x:v>Smartwatch</x:v>
      </x:c>
      <x:c r="G95" s="1" t="n">
        <x:v>3</x:v>
      </x:c>
      <x:c r="H95" s="2" t="n">
        <x:v>4200</x:v>
      </x:c>
      <x:c r="I95" s="3" t="n">
        <x:v>0.15</x:v>
      </x:c>
      <x:c r="J95" s="2" t="n">
        <x:v>3000</x:v>
      </x:c>
      <x:c r="K95" s="2" t="n">
        <x:v>80</x:v>
      </x:c>
      <x:c r="L95" s="2" t="n">
        <x:f>G95*H95</x:f>
        <x:v>12600</x:v>
      </x:c>
      <x:c r="M95" s="2" t="n">
        <x:f>ROUND(L95*(1-I95),2)</x:f>
        <x:v>10710</x:v>
      </x:c>
      <x:c r="N95" s="2" t="n">
        <x:f>G95*J95</x:f>
        <x:v>9000</x:v>
      </x:c>
      <x:c r="O95" s="2" t="n">
        <x:f>M95-N95-K95</x:f>
        <x:v>1630</x:v>
      </x:c>
      <x:c r="P95" s="1" t="str">
        <x:f>TEXT(B95,"yyyy-mm")</x:f>
        <x:v>2025-11</x:v>
      </x:c>
    </x:row>
    <x:row r="96">
      <x:c r="A96" s="1" t="str">
        <x:v>ORD-0092</x:v>
      </x:c>
      <x:c r="B96" s="4" t="d">
        <x:v>2025-11-01T00:00:00.000Z</x:v>
      </x:c>
      <x:c r="C96" s="1" t="str">
        <x:v>C-265</x:v>
      </x:c>
      <x:c r="D96" s="1" t="str">
        <x:v>South</x:v>
      </x:c>
      <x:c r="E96" s="1" t="str">
        <x:v>Fashion</x:v>
      </x:c>
      <x:c r="F96" s="1" t="str">
        <x:v>Sneakers</x:v>
      </x:c>
      <x:c r="G96" s="1" t="n">
        <x:v>1</x:v>
      </x:c>
      <x:c r="H96" s="2" t="n">
        <x:v>2400</x:v>
      </x:c>
      <x:c r="I96" s="3" t="n">
        <x:v>0.25</x:v>
      </x:c>
      <x:c r="J96" s="2" t="n">
        <x:v>1200</x:v>
      </x:c>
      <x:c r="K96" s="2" t="n">
        <x:v>50</x:v>
      </x:c>
      <x:c r="L96" s="2" t="n">
        <x:f>G96*H96</x:f>
        <x:v>2400</x:v>
      </x:c>
      <x:c r="M96" s="2" t="n">
        <x:f>ROUND(L96*(1-I96),2)</x:f>
        <x:v>1800</x:v>
      </x:c>
      <x:c r="N96" s="2" t="n">
        <x:f>G96*J96</x:f>
        <x:v>1200</x:v>
      </x:c>
      <x:c r="O96" s="2" t="n">
        <x:f>M96-N96-K96</x:f>
        <x:v>550</x:v>
      </x:c>
      <x:c r="P96" s="1" t="str">
        <x:f>TEXT(B96,"yyyy-mm")</x:f>
        <x:v>2025-11</x:v>
      </x:c>
    </x:row>
    <x:row r="97">
      <x:c r="A97" s="1" t="str">
        <x:v>ORD-0093</x:v>
      </x:c>
      <x:c r="B97" s="4" t="d">
        <x:v>2025-10-25T00:00:00.000Z</x:v>
      </x:c>
      <x:c r="C97" s="1" t="str">
        <x:v>C-124</x:v>
      </x:c>
      <x:c r="D97" s="1" t="str">
        <x:v>West</x:v>
      </x:c>
      <x:c r="E97" s="1" t="str">
        <x:v>Home</x:v>
      </x:c>
      <x:c r="F97" s="1" t="str">
        <x:v>Desk lamp</x:v>
      </x:c>
      <x:c r="G97" s="1" t="n">
        <x:v>4</x:v>
      </x:c>
      <x:c r="H97" s="2" t="n">
        <x:v>1100</x:v>
      </x:c>
      <x:c r="I97" s="3" t="n">
        <x:v>0.25</x:v>
      </x:c>
      <x:c r="J97" s="2" t="n">
        <x:v>650</x:v>
      </x:c>
      <x:c r="K97" s="2" t="n">
        <x:v>80</x:v>
      </x:c>
      <x:c r="L97" s="2" t="n">
        <x:f>G97*H97</x:f>
        <x:v>4400</x:v>
      </x:c>
      <x:c r="M97" s="2" t="n">
        <x:f>ROUND(L97*(1-I97),2)</x:f>
        <x:v>3300</x:v>
      </x:c>
      <x:c r="N97" s="2" t="n">
        <x:f>G97*J97</x:f>
        <x:v>2600</x:v>
      </x:c>
      <x:c r="O97" s="2" t="n">
        <x:f>M97-N97-K97</x:f>
        <x:v>620</x:v>
      </x:c>
      <x:c r="P97" s="1" t="str">
        <x:f>TEXT(B97,"yyyy-mm")</x:f>
        <x:v>2025-10</x:v>
      </x:c>
    </x:row>
    <x:row r="98">
      <x:c r="A98" s="1" t="str">
        <x:v>ORD-0094</x:v>
      </x:c>
      <x:c r="B98" s="4" t="d">
        <x:v>2025-11-08T00:00:00.000Z</x:v>
      </x:c>
      <x:c r="C98" s="1" t="str">
        <x:v>C-208</x:v>
      </x:c>
      <x:c r="D98" s="1" t="str">
        <x:v>South</x:v>
      </x:c>
      <x:c r="E98" s="1" t="str">
        <x:v>Electronics</x:v>
      </x:c>
      <x:c r="F98" s="1" t="str">
        <x:v>Keyboard</x:v>
      </x:c>
      <x:c r="G98" s="1" t="n">
        <x:v>3</x:v>
      </x:c>
      <x:c r="H98" s="2" t="n">
        <x:v>1500</x:v>
      </x:c>
      <x:c r="I98" s="3" t="n">
        <x:v>0.1</x:v>
      </x:c>
      <x:c r="J98" s="2" t="n">
        <x:v>900</x:v>
      </x:c>
      <x:c r="K98" s="2" t="n">
        <x:v>120</x:v>
      </x:c>
      <x:c r="L98" s="2" t="n">
        <x:f>G98*H98</x:f>
        <x:v>4500</x:v>
      </x:c>
      <x:c r="M98" s="2" t="n">
        <x:f>ROUND(L98*(1-I98),2)</x:f>
        <x:v>4050</x:v>
      </x:c>
      <x:c r="N98" s="2" t="n">
        <x:f>G98*J98</x:f>
        <x:v>2700</x:v>
      </x:c>
      <x:c r="O98" s="2" t="n">
        <x:f>M98-N98-K98</x:f>
        <x:v>1230</x:v>
      </x:c>
      <x:c r="P98" s="1" t="str">
        <x:f>TEXT(B98,"yyyy-mm")</x:f>
        <x:v>2025-11</x:v>
      </x:c>
    </x:row>
    <x:row r="99">
      <x:c r="A99" s="1" t="str">
        <x:v>ORD-0095</x:v>
      </x:c>
      <x:c r="B99" s="4" t="d">
        <x:v>2025-09-17T00:00:00.000Z</x:v>
      </x:c>
      <x:c r="C99" s="1" t="str">
        <x:v>C-177</x:v>
      </x:c>
      <x:c r="D99" s="1" t="str">
        <x:v>West</x:v>
      </x:c>
      <x:c r="E99" s="1" t="str">
        <x:v>Home</x:v>
      </x:c>
      <x:c r="F99" s="1" t="str">
        <x:v>Desk lamp</x:v>
      </x:c>
      <x:c r="G99" s="1" t="n">
        <x:v>3</x:v>
      </x:c>
      <x:c r="H99" s="2" t="n">
        <x:v>1100</x:v>
      </x:c>
      <x:c r="I99" s="3" t="n">
        <x:v>0.25</x:v>
      </x:c>
      <x:c r="J99" s="2" t="n">
        <x:v>650</x:v>
      </x:c>
      <x:c r="K99" s="2" t="n">
        <x:v>80</x:v>
      </x:c>
      <x:c r="L99" s="2" t="n">
        <x:f>G99*H99</x:f>
        <x:v>3300</x:v>
      </x:c>
      <x:c r="M99" s="2" t="n">
        <x:f>ROUND(L99*(1-I99),2)</x:f>
        <x:v>2475</x:v>
      </x:c>
      <x:c r="N99" s="2" t="n">
        <x:f>G99*J99</x:f>
        <x:v>1950</x:v>
      </x:c>
      <x:c r="O99" s="2" t="n">
        <x:f>M99-N99-K99</x:f>
        <x:v>445</x:v>
      </x:c>
      <x:c r="P99" s="1" t="str">
        <x:f>TEXT(B99,"yyyy-mm")</x:f>
        <x:v>2025-09</x:v>
      </x:c>
    </x:row>
    <x:row r="100">
      <x:c r="A100" s="1" t="str">
        <x:v>ORD-0096</x:v>
      </x:c>
      <x:c r="B100" s="4" t="d">
        <x:v>2025-10-09T00:00:00.000Z</x:v>
      </x:c>
      <x:c r="C100" s="1" t="str">
        <x:v>C-119</x:v>
      </x:c>
      <x:c r="D100" s="1" t="str">
        <x:v>North</x:v>
      </x:c>
      <x:c r="E100" s="1" t="str">
        <x:v>Fashion</x:v>
      </x:c>
      <x:c r="F100" s="1" t="str">
        <x:v>Sneakers</x:v>
      </x:c>
      <x:c r="G100" s="1" t="n">
        <x:v>2</x:v>
      </x:c>
      <x:c r="H100" s="2" t="n">
        <x:v>2400</x:v>
      </x:c>
      <x:c r="I100" s="3" t="n">
        <x:v>0.1</x:v>
      </x:c>
      <x:c r="J100" s="2" t="n">
        <x:v>1200</x:v>
      </x:c>
      <x:c r="K100" s="2" t="n">
        <x:v>80</x:v>
      </x:c>
      <x:c r="L100" s="2" t="n">
        <x:f>G100*H100</x:f>
        <x:v>4800</x:v>
      </x:c>
      <x:c r="M100" s="2" t="n">
        <x:f>ROUND(L100*(1-I100),2)</x:f>
        <x:v>4320</x:v>
      </x:c>
      <x:c r="N100" s="2" t="n">
        <x:f>G100*J100</x:f>
        <x:v>2400</x:v>
      </x:c>
      <x:c r="O100" s="2" t="n">
        <x:f>M100-N100-K100</x:f>
        <x:v>1840</x:v>
      </x:c>
      <x:c r="P100" s="1" t="str">
        <x:f>TEXT(B100,"yyyy-mm")</x:f>
        <x:v>2025-10</x:v>
      </x:c>
    </x:row>
    <x:row r="101">
      <x:c r="A101" s="1" t="str">
        <x:v>ORD-0097</x:v>
      </x:c>
      <x:c r="B101" s="4" t="d">
        <x:v>2025-02-06T00:00:00.000Z</x:v>
      </x:c>
      <x:c r="C101" s="1" t="str">
        <x:v>C-099</x:v>
      </x:c>
      <x:c r="D101" s="1" t="str">
        <x:v>South</x:v>
      </x:c>
      <x:c r="E101" s="1" t="str">
        <x:v>Home</x:v>
      </x:c>
      <x:c r="F101" s="1" t="str">
        <x:v>Storage box</x:v>
      </x:c>
      <x:c r="G101" s="1" t="n">
        <x:v>4</x:v>
      </x:c>
      <x:c r="H101" s="2" t="n">
        <x:v>800</x:v>
      </x:c>
      <x:c r="I101" s="3" t="n">
        <x:v>0.35</x:v>
      </x:c>
      <x:c r="J101" s="2" t="n">
        <x:v>420</x:v>
      </x:c>
      <x:c r="K101" s="2" t="n">
        <x:v>80</x:v>
      </x:c>
      <x:c r="L101" s="2" t="n">
        <x:f>G101*H101</x:f>
        <x:v>3200</x:v>
      </x:c>
      <x:c r="M101" s="2" t="n">
        <x:f>ROUND(L101*(1-I101),2)</x:f>
        <x:v>2080</x:v>
      </x:c>
      <x:c r="N101" s="2" t="n">
        <x:f>G101*J101</x:f>
        <x:v>1680</x:v>
      </x:c>
      <x:c r="O101" s="2" t="n">
        <x:f>M101-N101-K101</x:f>
        <x:v>320</x:v>
      </x:c>
      <x:c r="P101" s="1" t="str">
        <x:f>TEXT(B101,"yyyy-mm")</x:f>
        <x:v>2025-02</x:v>
      </x:c>
    </x:row>
    <x:row r="102">
      <x:c r="A102" s="1" t="str">
        <x:v>ORD-0098</x:v>
      </x:c>
      <x:c r="B102" s="4" t="d">
        <x:v>2025-10-10T00:00:00.000Z</x:v>
      </x:c>
      <x:c r="C102" s="1" t="str">
        <x:v>C-052</x:v>
      </x:c>
      <x:c r="D102" s="1" t="str">
        <x:v>South</x:v>
      </x:c>
      <x:c r="E102" s="1" t="str">
        <x:v>Home</x:v>
      </x:c>
      <x:c r="F102" s="1" t="str">
        <x:v>Storage box</x:v>
      </x:c>
      <x:c r="G102" s="1" t="n">
        <x:v>3</x:v>
      </x:c>
      <x:c r="H102" s="2" t="n">
        <x:v>800</x:v>
      </x:c>
      <x:c r="I102" s="3" t="n">
        <x:v>0.25</x:v>
      </x:c>
      <x:c r="J102" s="2" t="n">
        <x:v>420</x:v>
      </x:c>
      <x:c r="K102" s="2" t="n">
        <x:v>50</x:v>
      </x:c>
      <x:c r="L102" s="2" t="n">
        <x:f>G102*H102</x:f>
        <x:v>2400</x:v>
      </x:c>
      <x:c r="M102" s="2" t="n">
        <x:f>ROUND(L102*(1-I102),2)</x:f>
        <x:v>1800</x:v>
      </x:c>
      <x:c r="N102" s="2" t="n">
        <x:f>G102*J102</x:f>
        <x:v>1260</x:v>
      </x:c>
      <x:c r="O102" s="2" t="n">
        <x:f>M102-N102-K102</x:f>
        <x:v>490</x:v>
      </x:c>
      <x:c r="P102" s="1" t="str">
        <x:f>TEXT(B102,"yyyy-mm")</x:f>
        <x:v>2025-10</x:v>
      </x:c>
    </x:row>
    <x:row r="103">
      <x:c r="A103" s="1" t="str">
        <x:v>ORD-0099</x:v>
      </x:c>
      <x:c r="B103" s="4" t="d">
        <x:v>2025-06-23T00:00:00.000Z</x:v>
      </x:c>
      <x:c r="C103" s="1" t="str">
        <x:v>C-274</x:v>
      </x:c>
      <x:c r="D103" s="1" t="str">
        <x:v>South</x:v>
      </x:c>
      <x:c r="E103" s="1" t="str">
        <x:v>Fashion</x:v>
      </x:c>
      <x:c r="F103" s="1" t="str">
        <x:v>Sneakers</x:v>
      </x:c>
      <x:c r="G103" s="1" t="n">
        <x:v>3</x:v>
      </x:c>
      <x:c r="H103" s="2" t="n">
        <x:v>2400</x:v>
      </x:c>
      <x:c r="I103" s="3" t="n">
        <x:v>0</x:v>
      </x:c>
      <x:c r="J103" s="2" t="n">
        <x:v>1200</x:v>
      </x:c>
      <x:c r="K103" s="2" t="n">
        <x:v>50</x:v>
      </x:c>
      <x:c r="L103" s="2" t="n">
        <x:f>G103*H103</x:f>
        <x:v>7200</x:v>
      </x:c>
      <x:c r="M103" s="2" t="n">
        <x:f>ROUND(L103*(1-I103),2)</x:f>
        <x:v>7200</x:v>
      </x:c>
      <x:c r="N103" s="2" t="n">
        <x:f>G103*J103</x:f>
        <x:v>3600</x:v>
      </x:c>
      <x:c r="O103" s="2" t="n">
        <x:f>M103-N103-K103</x:f>
        <x:v>3550</x:v>
      </x:c>
      <x:c r="P103" s="1" t="str">
        <x:f>TEXT(B103,"yyyy-mm")</x:f>
        <x:v>2025-06</x:v>
      </x:c>
    </x:row>
    <x:row r="104">
      <x:c r="A104" s="1" t="str">
        <x:v>ORD-0100</x:v>
      </x:c>
      <x:c r="B104" s="4" t="d">
        <x:v>2025-12-23T00:00:00.000Z</x:v>
      </x:c>
      <x:c r="C104" s="1" t="str">
        <x:v>C-065</x:v>
      </x:c>
      <x:c r="D104" s="1" t="str">
        <x:v>West</x:v>
      </x:c>
      <x:c r="E104" s="1" t="str">
        <x:v>Home</x:v>
      </x:c>
      <x:c r="F104" s="1" t="str">
        <x:v>Storage box</x:v>
      </x:c>
      <x:c r="G104" s="1" t="n">
        <x:v>1</x:v>
      </x:c>
      <x:c r="H104" s="2" t="n">
        <x:v>800</x:v>
      </x:c>
      <x:c r="I104" s="3" t="n">
        <x:v>0.1</x:v>
      </x:c>
      <x:c r="J104" s="2" t="n">
        <x:v>420</x:v>
      </x:c>
      <x:c r="K104" s="2" t="n">
        <x:v>50</x:v>
      </x:c>
      <x:c r="L104" s="2" t="n">
        <x:f>G104*H104</x:f>
        <x:v>800</x:v>
      </x:c>
      <x:c r="M104" s="2" t="n">
        <x:f>ROUND(L104*(1-I104),2)</x:f>
        <x:v>720</x:v>
      </x:c>
      <x:c r="N104" s="2" t="n">
        <x:f>G104*J104</x:f>
        <x:v>420</x:v>
      </x:c>
      <x:c r="O104" s="2" t="n">
        <x:f>M104-N104-K104</x:f>
        <x:v>250</x:v>
      </x:c>
      <x:c r="P104" s="1" t="str">
        <x:f>TEXT(B104,"yyyy-mm")</x:f>
        <x:v>2025-12</x:v>
      </x:c>
    </x:row>
    <x:row r="105">
      <x:c r="A105" s="1" t="str">
        <x:v>ORD-0101</x:v>
      </x:c>
      <x:c r="B105" s="4" t="d">
        <x:v>2025-09-15T00:00:00.000Z</x:v>
      </x:c>
      <x:c r="C105" s="1" t="str">
        <x:v>C-175</x:v>
      </x:c>
      <x:c r="D105" s="1" t="str">
        <x:v>South</x:v>
      </x:c>
      <x:c r="E105" s="1" t="str">
        <x:v>Home</x:v>
      </x:c>
      <x:c r="F105" s="1" t="str">
        <x:v>Desk lamp</x:v>
      </x:c>
      <x:c r="G105" s="1" t="n">
        <x:v>1</x:v>
      </x:c>
      <x:c r="H105" s="2" t="n">
        <x:v>1100</x:v>
      </x:c>
      <x:c r="I105" s="3" t="n">
        <x:v>0.15</x:v>
      </x:c>
      <x:c r="J105" s="2" t="n">
        <x:v>650</x:v>
      </x:c>
      <x:c r="K105" s="2" t="n">
        <x:v>80</x:v>
      </x:c>
      <x:c r="L105" s="2" t="n">
        <x:f>G105*H105</x:f>
        <x:v>1100</x:v>
      </x:c>
      <x:c r="M105" s="2" t="n">
        <x:f>ROUND(L105*(1-I105),2)</x:f>
        <x:v>935</x:v>
      </x:c>
      <x:c r="N105" s="2" t="n">
        <x:f>G105*J105</x:f>
        <x:v>650</x:v>
      </x:c>
      <x:c r="O105" s="2" t="n">
        <x:f>M105-N105-K105</x:f>
        <x:v>205</x:v>
      </x:c>
      <x:c r="P105" s="1" t="str">
        <x:f>TEXT(B105,"yyyy-mm")</x:f>
        <x:v>2025-09</x:v>
      </x:c>
    </x:row>
    <x:row r="106">
      <x:c r="A106" s="1" t="str">
        <x:v>ORD-0102</x:v>
      </x:c>
      <x:c r="B106" s="4" t="d">
        <x:v>2025-12-27T00:00:00.000Z</x:v>
      </x:c>
      <x:c r="C106" s="1" t="str">
        <x:v>C-034</x:v>
      </x:c>
      <x:c r="D106" s="1" t="str">
        <x:v>West</x:v>
      </x:c>
      <x:c r="E106" s="1" t="str">
        <x:v>Home</x:v>
      </x:c>
      <x:c r="F106" s="1" t="str">
        <x:v>Desk lamp</x:v>
      </x:c>
      <x:c r="G106" s="1" t="n">
        <x:v>4</x:v>
      </x:c>
      <x:c r="H106" s="2" t="n">
        <x:v>1100</x:v>
      </x:c>
      <x:c r="I106" s="3" t="n">
        <x:v>0</x:v>
      </x:c>
      <x:c r="J106" s="2" t="n">
        <x:v>650</x:v>
      </x:c>
      <x:c r="K106" s="2" t="n">
        <x:v>50</x:v>
      </x:c>
      <x:c r="L106" s="2" t="n">
        <x:f>G106*H106</x:f>
        <x:v>4400</x:v>
      </x:c>
      <x:c r="M106" s="2" t="n">
        <x:f>ROUND(L106*(1-I106),2)</x:f>
        <x:v>4400</x:v>
      </x:c>
      <x:c r="N106" s="2" t="n">
        <x:f>G106*J106</x:f>
        <x:v>2600</x:v>
      </x:c>
      <x:c r="O106" s="2" t="n">
        <x:f>M106-N106-K106</x:f>
        <x:v>1750</x:v>
      </x:c>
      <x:c r="P106" s="1" t="str">
        <x:f>TEXT(B106,"yyyy-mm")</x:f>
        <x:v>2025-12</x:v>
      </x:c>
    </x:row>
    <x:row r="107">
      <x:c r="A107" s="1" t="str">
        <x:v>ORD-0103</x:v>
      </x:c>
      <x:c r="B107" s="4" t="d">
        <x:v>2025-09-05T00:00:00.000Z</x:v>
      </x:c>
      <x:c r="C107" s="1" t="str">
        <x:v>C-289</x:v>
      </x:c>
      <x:c r="D107" s="1" t="str">
        <x:v>East</x:v>
      </x:c>
      <x:c r="E107" s="1" t="str">
        <x:v>Electronics</x:v>
      </x:c>
      <x:c r="F107" s="1" t="str">
        <x:v>Headphones</x:v>
      </x:c>
      <x:c r="G107" s="1" t="n">
        <x:v>1</x:v>
      </x:c>
      <x:c r="H107" s="2" t="n">
        <x:v>2200</x:v>
      </x:c>
      <x:c r="I107" s="3" t="n">
        <x:v>0.05</x:v>
      </x:c>
      <x:c r="J107" s="2" t="n">
        <x:v>1450</x:v>
      </x:c>
      <x:c r="K107" s="2" t="n">
        <x:v>50</x:v>
      </x:c>
      <x:c r="L107" s="2" t="n">
        <x:f>G107*H107</x:f>
        <x:v>2200</x:v>
      </x:c>
      <x:c r="M107" s="2" t="n">
        <x:f>ROUND(L107*(1-I107),2)</x:f>
        <x:v>2090</x:v>
      </x:c>
      <x:c r="N107" s="2" t="n">
        <x:f>G107*J107</x:f>
        <x:v>1450</x:v>
      </x:c>
      <x:c r="O107" s="2" t="n">
        <x:f>M107-N107-K107</x:f>
        <x:v>590</x:v>
      </x:c>
      <x:c r="P107" s="1" t="str">
        <x:f>TEXT(B107,"yyyy-mm")</x:f>
        <x:v>2025-09</x:v>
      </x:c>
    </x:row>
    <x:row r="108">
      <x:c r="A108" s="1" t="str">
        <x:v>ORD-0104</x:v>
      </x:c>
      <x:c r="B108" s="4" t="d">
        <x:v>2025-02-20T00:00:00.000Z</x:v>
      </x:c>
      <x:c r="C108" s="1" t="str">
        <x:v>C-116</x:v>
      </x:c>
      <x:c r="D108" s="1" t="str">
        <x:v>West</x:v>
      </x:c>
      <x:c r="E108" s="1" t="str">
        <x:v>Home</x:v>
      </x:c>
      <x:c r="F108" s="1" t="str">
        <x:v>Office chair</x:v>
      </x:c>
      <x:c r="G108" s="1" t="n">
        <x:v>4</x:v>
      </x:c>
      <x:c r="H108" s="2" t="n">
        <x:v>5500</x:v>
      </x:c>
      <x:c r="I108" s="3" t="n">
        <x:v>0.25</x:v>
      </x:c>
      <x:c r="J108" s="2" t="n">
        <x:v>4400</x:v>
      </x:c>
      <x:c r="K108" s="2" t="n">
        <x:v>80</x:v>
      </x:c>
      <x:c r="L108" s="2" t="n">
        <x:f>G108*H108</x:f>
        <x:v>22000</x:v>
      </x:c>
      <x:c r="M108" s="2" t="n">
        <x:f>ROUND(L108*(1-I108),2)</x:f>
        <x:v>16500</x:v>
      </x:c>
      <x:c r="N108" s="2" t="n">
        <x:f>G108*J108</x:f>
        <x:v>17600</x:v>
      </x:c>
      <x:c r="O108" s="2" t="n">
        <x:f>M108-N108-K108</x:f>
        <x:v>-1180</x:v>
      </x:c>
      <x:c r="P108" s="1" t="str">
        <x:f>TEXT(B108,"yyyy-mm")</x:f>
        <x:v>2025-02</x:v>
      </x:c>
    </x:row>
    <x:row r="109">
      <x:c r="A109" s="1" t="str">
        <x:v>ORD-0105</x:v>
      </x:c>
      <x:c r="B109" s="4" t="d">
        <x:v>2025-05-19T00:00:00.000Z</x:v>
      </x:c>
      <x:c r="C109" s="1" t="str">
        <x:v>C-031</x:v>
      </x:c>
      <x:c r="D109" s="1" t="str">
        <x:v>North</x:v>
      </x:c>
      <x:c r="E109" s="1" t="str">
        <x:v>Home</x:v>
      </x:c>
      <x:c r="F109" s="1" t="str">
        <x:v>Office chair</x:v>
      </x:c>
      <x:c r="G109" s="1" t="n">
        <x:v>2</x:v>
      </x:c>
      <x:c r="H109" s="2" t="n">
        <x:v>5500</x:v>
      </x:c>
      <x:c r="I109" s="3" t="n">
        <x:v>0.1</x:v>
      </x:c>
      <x:c r="J109" s="2" t="n">
        <x:v>4400</x:v>
      </x:c>
      <x:c r="K109" s="2" t="n">
        <x:v>120</x:v>
      </x:c>
      <x:c r="L109" s="2" t="n">
        <x:f>G109*H109</x:f>
        <x:v>11000</x:v>
      </x:c>
      <x:c r="M109" s="2" t="n">
        <x:f>ROUND(L109*(1-I109),2)</x:f>
        <x:v>9900</x:v>
      </x:c>
      <x:c r="N109" s="2" t="n">
        <x:f>G109*J109</x:f>
        <x:v>8800</x:v>
      </x:c>
      <x:c r="O109" s="2" t="n">
        <x:f>M109-N109-K109</x:f>
        <x:v>980</x:v>
      </x:c>
      <x:c r="P109" s="1" t="str">
        <x:f>TEXT(B109,"yyyy-mm")</x:f>
        <x:v>2025-05</x:v>
      </x:c>
    </x:row>
    <x:row r="110">
      <x:c r="A110" s="1" t="str">
        <x:v>ORD-0106</x:v>
      </x:c>
      <x:c r="B110" s="4" t="d">
        <x:v>2025-04-08T00:00:00.000Z</x:v>
      </x:c>
      <x:c r="C110" s="1" t="str">
        <x:v>C-089</x:v>
      </x:c>
      <x:c r="D110" s="1" t="str">
        <x:v>North</x:v>
      </x:c>
      <x:c r="E110" s="1" t="str">
        <x:v>Electronics</x:v>
      </x:c>
      <x:c r="F110" s="1" t="str">
        <x:v>Keyboard</x:v>
      </x:c>
      <x:c r="G110" s="1" t="n">
        <x:v>2</x:v>
      </x:c>
      <x:c r="H110" s="2" t="n">
        <x:v>1500</x:v>
      </x:c>
      <x:c r="I110" s="3" t="n">
        <x:v>0.05</x:v>
      </x:c>
      <x:c r="J110" s="2" t="n">
        <x:v>900</x:v>
      </x:c>
      <x:c r="K110" s="2" t="n">
        <x:v>50</x:v>
      </x:c>
      <x:c r="L110" s="2" t="n">
        <x:f>G110*H110</x:f>
        <x:v>3000</x:v>
      </x:c>
      <x:c r="M110" s="2" t="n">
        <x:f>ROUND(L110*(1-I110),2)</x:f>
        <x:v>2850</x:v>
      </x:c>
      <x:c r="N110" s="2" t="n">
        <x:f>G110*J110</x:f>
        <x:v>1800</x:v>
      </x:c>
      <x:c r="O110" s="2" t="n">
        <x:f>M110-N110-K110</x:f>
        <x:v>1000</x:v>
      </x:c>
      <x:c r="P110" s="1" t="str">
        <x:f>TEXT(B110,"yyyy-mm")</x:f>
        <x:v>2025-04</x:v>
      </x:c>
    </x:row>
    <x:row r="111">
      <x:c r="A111" s="1" t="str">
        <x:v>ORD-0107</x:v>
      </x:c>
      <x:c r="B111" s="4" t="d">
        <x:v>2025-06-02T00:00:00.000Z</x:v>
      </x:c>
      <x:c r="C111" s="1" t="str">
        <x:v>C-119</x:v>
      </x:c>
      <x:c r="D111" s="1" t="str">
        <x:v>East</x:v>
      </x:c>
      <x:c r="E111" s="1" t="str">
        <x:v>Home</x:v>
      </x:c>
      <x:c r="F111" s="1" t="str">
        <x:v>Desk lamp</x:v>
      </x:c>
      <x:c r="G111" s="1" t="n">
        <x:v>3</x:v>
      </x:c>
      <x:c r="H111" s="2" t="n">
        <x:v>1100</x:v>
      </x:c>
      <x:c r="I111" s="3" t="n">
        <x:v>0.1</x:v>
      </x:c>
      <x:c r="J111" s="2" t="n">
        <x:v>650</x:v>
      </x:c>
      <x:c r="K111" s="2" t="n">
        <x:v>120</x:v>
      </x:c>
      <x:c r="L111" s="2" t="n">
        <x:f>G111*H111</x:f>
        <x:v>3300</x:v>
      </x:c>
      <x:c r="M111" s="2" t="n">
        <x:f>ROUND(L111*(1-I111),2)</x:f>
        <x:v>2970</x:v>
      </x:c>
      <x:c r="N111" s="2" t="n">
        <x:f>G111*J111</x:f>
        <x:v>1950</x:v>
      </x:c>
      <x:c r="O111" s="2" t="n">
        <x:f>M111-N111-K111</x:f>
        <x:v>900</x:v>
      </x:c>
      <x:c r="P111" s="1" t="str">
        <x:f>TEXT(B111,"yyyy-mm")</x:f>
        <x:v>2025-06</x:v>
      </x:c>
    </x:row>
    <x:row r="112">
      <x:c r="A112" s="1" t="str">
        <x:v>ORD-0108</x:v>
      </x:c>
      <x:c r="B112" s="4" t="d">
        <x:v>2025-11-08T00:00:00.000Z</x:v>
      </x:c>
      <x:c r="C112" s="1" t="str">
        <x:v>C-136</x:v>
      </x:c>
      <x:c r="D112" s="1" t="str">
        <x:v>South</x:v>
      </x:c>
      <x:c r="E112" s="1" t="str">
        <x:v>Electronics</x:v>
      </x:c>
      <x:c r="F112" s="1" t="str">
        <x:v>Keyboard</x:v>
      </x:c>
      <x:c r="G112" s="1" t="n">
        <x:v>4</x:v>
      </x:c>
      <x:c r="H112" s="2" t="n">
        <x:v>1500</x:v>
      </x:c>
      <x:c r="I112" s="3" t="n">
        <x:v>0.35</x:v>
      </x:c>
      <x:c r="J112" s="2" t="n">
        <x:v>900</x:v>
      </x:c>
      <x:c r="K112" s="2" t="n">
        <x:v>50</x:v>
      </x:c>
      <x:c r="L112" s="2" t="n">
        <x:f>G112*H112</x:f>
        <x:v>6000</x:v>
      </x:c>
      <x:c r="M112" s="2" t="n">
        <x:f>ROUND(L112*(1-I112),2)</x:f>
        <x:v>3900</x:v>
      </x:c>
      <x:c r="N112" s="2" t="n">
        <x:f>G112*J112</x:f>
        <x:v>3600</x:v>
      </x:c>
      <x:c r="O112" s="2" t="n">
        <x:f>M112-N112-K112</x:f>
        <x:v>250</x:v>
      </x:c>
      <x:c r="P112" s="1" t="str">
        <x:f>TEXT(B112,"yyyy-mm")</x:f>
        <x:v>2025-11</x:v>
      </x:c>
    </x:row>
    <x:row r="113">
      <x:c r="A113" s="1" t="str">
        <x:v>ORD-0109</x:v>
      </x:c>
      <x:c r="B113" s="4" t="d">
        <x:v>2025-08-27T00:00:00.000Z</x:v>
      </x:c>
      <x:c r="C113" s="1" t="str">
        <x:v>C-073</x:v>
      </x:c>
      <x:c r="D113" s="1" t="str">
        <x:v>North</x:v>
      </x:c>
      <x:c r="E113" s="1" t="str">
        <x:v>Electronics</x:v>
      </x:c>
      <x:c r="F113" s="1" t="str">
        <x:v>Smartwatch</x:v>
      </x:c>
      <x:c r="G113" s="1" t="n">
        <x:v>1</x:v>
      </x:c>
      <x:c r="H113" s="2" t="n">
        <x:v>4200</x:v>
      </x:c>
      <x:c r="I113" s="3" t="n">
        <x:v>0.1</x:v>
      </x:c>
      <x:c r="J113" s="2" t="n">
        <x:v>3000</x:v>
      </x:c>
      <x:c r="K113" s="2" t="n">
        <x:v>50</x:v>
      </x:c>
      <x:c r="L113" s="2" t="n">
        <x:f>G113*H113</x:f>
        <x:v>4200</x:v>
      </x:c>
      <x:c r="M113" s="2" t="n">
        <x:f>ROUND(L113*(1-I113),2)</x:f>
        <x:v>3780</x:v>
      </x:c>
      <x:c r="N113" s="2" t="n">
        <x:f>G113*J113</x:f>
        <x:v>3000</x:v>
      </x:c>
      <x:c r="O113" s="2" t="n">
        <x:f>M113-N113-K113</x:f>
        <x:v>730</x:v>
      </x:c>
      <x:c r="P113" s="1" t="str">
        <x:f>TEXT(B113,"yyyy-mm")</x:f>
        <x:v>2025-08</x:v>
      </x:c>
    </x:row>
    <x:row r="114">
      <x:c r="A114" s="1" t="str">
        <x:v>ORD-0110</x:v>
      </x:c>
      <x:c r="B114" s="4" t="d">
        <x:v>2025-11-04T00:00:00.000Z</x:v>
      </x:c>
      <x:c r="C114" s="1" t="str">
        <x:v>C-240</x:v>
      </x:c>
      <x:c r="D114" s="1" t="str">
        <x:v>East</x:v>
      </x:c>
      <x:c r="E114" s="1" t="str">
        <x:v>Fashion</x:v>
      </x:c>
      <x:c r="F114" s="1" t="str">
        <x:v>Sneakers</x:v>
      </x:c>
      <x:c r="G114" s="1" t="n">
        <x:v>4</x:v>
      </x:c>
      <x:c r="H114" s="2" t="n">
        <x:v>2400</x:v>
      </x:c>
      <x:c r="I114" s="3" t="n">
        <x:v>0.15</x:v>
      </x:c>
      <x:c r="J114" s="2" t="n">
        <x:v>1200</x:v>
      </x:c>
      <x:c r="K114" s="2" t="n">
        <x:v>80</x:v>
      </x:c>
      <x:c r="L114" s="2" t="n">
        <x:f>G114*H114</x:f>
        <x:v>9600</x:v>
      </x:c>
      <x:c r="M114" s="2" t="n">
        <x:f>ROUND(L114*(1-I114),2)</x:f>
        <x:v>8160</x:v>
      </x:c>
      <x:c r="N114" s="2" t="n">
        <x:f>G114*J114</x:f>
        <x:v>4800</x:v>
      </x:c>
      <x:c r="O114" s="2" t="n">
        <x:f>M114-N114-K114</x:f>
        <x:v>3280</x:v>
      </x:c>
      <x:c r="P114" s="1" t="str">
        <x:f>TEXT(B114,"yyyy-mm")</x:f>
        <x:v>2025-11</x:v>
      </x:c>
    </x:row>
    <x:row r="115">
      <x:c r="A115" s="1" t="str">
        <x:v>ORD-0111</x:v>
      </x:c>
      <x:c r="B115" s="4" t="d">
        <x:v>2025-08-03T00:00:00.000Z</x:v>
      </x:c>
      <x:c r="C115" s="1" t="str">
        <x:v>C-021</x:v>
      </x:c>
      <x:c r="D115" s="1" t="str">
        <x:v>West</x:v>
      </x:c>
      <x:c r="E115" s="1" t="str">
        <x:v>Home</x:v>
      </x:c>
      <x:c r="F115" s="1" t="str">
        <x:v>Desk lamp</x:v>
      </x:c>
      <x:c r="G115" s="1" t="n">
        <x:v>3</x:v>
      </x:c>
      <x:c r="H115" s="2" t="n">
        <x:v>1100</x:v>
      </x:c>
      <x:c r="I115" s="3" t="n">
        <x:v>0.15</x:v>
      </x:c>
      <x:c r="J115" s="2" t="n">
        <x:v>650</x:v>
      </x:c>
      <x:c r="K115" s="2" t="n">
        <x:v>120</x:v>
      </x:c>
      <x:c r="L115" s="2" t="n">
        <x:f>G115*H115</x:f>
        <x:v>3300</x:v>
      </x:c>
      <x:c r="M115" s="2" t="n">
        <x:f>ROUND(L115*(1-I115),2)</x:f>
        <x:v>2805</x:v>
      </x:c>
      <x:c r="N115" s="2" t="n">
        <x:f>G115*J115</x:f>
        <x:v>1950</x:v>
      </x:c>
      <x:c r="O115" s="2" t="n">
        <x:f>M115-N115-K115</x:f>
        <x:v>735</x:v>
      </x:c>
      <x:c r="P115" s="1" t="str">
        <x:f>TEXT(B115,"yyyy-mm")</x:f>
        <x:v>2025-08</x:v>
      </x:c>
    </x:row>
    <x:row r="116">
      <x:c r="A116" s="1" t="str">
        <x:v>ORD-0112</x:v>
      </x:c>
      <x:c r="B116" s="4" t="d">
        <x:v>2025-04-22T00:00:00.000Z</x:v>
      </x:c>
      <x:c r="C116" s="1" t="str">
        <x:v>C-295</x:v>
      </x:c>
      <x:c r="D116" s="1" t="str">
        <x:v>North</x:v>
      </x:c>
      <x:c r="E116" s="1" t="str">
        <x:v>Electronics</x:v>
      </x:c>
      <x:c r="F116" s="1" t="str">
        <x:v>Keyboard</x:v>
      </x:c>
      <x:c r="G116" s="1" t="n">
        <x:v>3</x:v>
      </x:c>
      <x:c r="H116" s="2" t="n">
        <x:v>1500</x:v>
      </x:c>
      <x:c r="I116" s="3" t="n">
        <x:v>0.05</x:v>
      </x:c>
      <x:c r="J116" s="2" t="n">
        <x:v>900</x:v>
      </x:c>
      <x:c r="K116" s="2" t="n">
        <x:v>120</x:v>
      </x:c>
      <x:c r="L116" s="2" t="n">
        <x:f>G116*H116</x:f>
        <x:v>4500</x:v>
      </x:c>
      <x:c r="M116" s="2" t="n">
        <x:f>ROUND(L116*(1-I116),2)</x:f>
        <x:v>4275</x:v>
      </x:c>
      <x:c r="N116" s="2" t="n">
        <x:f>G116*J116</x:f>
        <x:v>2700</x:v>
      </x:c>
      <x:c r="O116" s="2" t="n">
        <x:f>M116-N116-K116</x:f>
        <x:v>1455</x:v>
      </x:c>
      <x:c r="P116" s="1" t="str">
        <x:f>TEXT(B116,"yyyy-mm")</x:f>
        <x:v>2025-04</x:v>
      </x:c>
    </x:row>
    <x:row r="117">
      <x:c r="A117" s="1" t="str">
        <x:v>ORD-0113</x:v>
      </x:c>
      <x:c r="B117" s="4" t="d">
        <x:v>2025-01-17T00:00:00.000Z</x:v>
      </x:c>
      <x:c r="C117" s="1" t="str">
        <x:v>C-227</x:v>
      </x:c>
      <x:c r="D117" s="1" t="str">
        <x:v>East</x:v>
      </x:c>
      <x:c r="E117" s="1" t="str">
        <x:v>Electronics</x:v>
      </x:c>
      <x:c r="F117" s="1" t="str">
        <x:v>Smartwatch</x:v>
      </x:c>
      <x:c r="G117" s="1" t="n">
        <x:v>2</x:v>
      </x:c>
      <x:c r="H117" s="2" t="n">
        <x:v>4200</x:v>
      </x:c>
      <x:c r="I117" s="3" t="n">
        <x:v>0.15</x:v>
      </x:c>
      <x:c r="J117" s="2" t="n">
        <x:v>3000</x:v>
      </x:c>
      <x:c r="K117" s="2" t="n">
        <x:v>120</x:v>
      </x:c>
      <x:c r="L117" s="2" t="n">
        <x:f>G117*H117</x:f>
        <x:v>8400</x:v>
      </x:c>
      <x:c r="M117" s="2" t="n">
        <x:f>ROUND(L117*(1-I117),2)</x:f>
        <x:v>7140</x:v>
      </x:c>
      <x:c r="N117" s="2" t="n">
        <x:f>G117*J117</x:f>
        <x:v>6000</x:v>
      </x:c>
      <x:c r="O117" s="2" t="n">
        <x:f>M117-N117-K117</x:f>
        <x:v>1020</x:v>
      </x:c>
      <x:c r="P117" s="1" t="str">
        <x:f>TEXT(B117,"yyyy-mm")</x:f>
        <x:v>2025-01</x:v>
      </x:c>
    </x:row>
    <x:row r="118">
      <x:c r="A118" s="1" t="str">
        <x:v>ORD-0114</x:v>
      </x:c>
      <x:c r="B118" s="4" t="d">
        <x:v>2025-07-16T00:00:00.000Z</x:v>
      </x:c>
      <x:c r="C118" s="1" t="str">
        <x:v>C-179</x:v>
      </x:c>
      <x:c r="D118" s="1" t="str">
        <x:v>West</x:v>
      </x:c>
      <x:c r="E118" s="1" t="str">
        <x:v>Home</x:v>
      </x:c>
      <x:c r="F118" s="1" t="str">
        <x:v>Desk lamp</x:v>
      </x:c>
      <x:c r="G118" s="1" t="n">
        <x:v>3</x:v>
      </x:c>
      <x:c r="H118" s="2" t="n">
        <x:v>1100</x:v>
      </x:c>
      <x:c r="I118" s="3" t="n">
        <x:v>0</x:v>
      </x:c>
      <x:c r="J118" s="2" t="n">
        <x:v>650</x:v>
      </x:c>
      <x:c r="K118" s="2" t="n">
        <x:v>80</x:v>
      </x:c>
      <x:c r="L118" s="2" t="n">
        <x:f>G118*H118</x:f>
        <x:v>3300</x:v>
      </x:c>
      <x:c r="M118" s="2" t="n">
        <x:f>ROUND(L118*(1-I118),2)</x:f>
        <x:v>3300</x:v>
      </x:c>
      <x:c r="N118" s="2" t="n">
        <x:f>G118*J118</x:f>
        <x:v>1950</x:v>
      </x:c>
      <x:c r="O118" s="2" t="n">
        <x:f>M118-N118-K118</x:f>
        <x:v>1270</x:v>
      </x:c>
      <x:c r="P118" s="1" t="str">
        <x:f>TEXT(B118,"yyyy-mm")</x:f>
        <x:v>2025-07</x:v>
      </x:c>
    </x:row>
    <x:row r="119">
      <x:c r="A119" s="1" t="str">
        <x:v>ORD-0115</x:v>
      </x:c>
      <x:c r="B119" s="4" t="d">
        <x:v>2025-10-14T00:00:00.000Z</x:v>
      </x:c>
      <x:c r="C119" s="1" t="str">
        <x:v>C-254</x:v>
      </x:c>
      <x:c r="D119" s="1" t="str">
        <x:v>East</x:v>
      </x:c>
      <x:c r="E119" s="1" t="str">
        <x:v>Electronics</x:v>
      </x:c>
      <x:c r="F119" s="1" t="str">
        <x:v>Smartwatch</x:v>
      </x:c>
      <x:c r="G119" s="1" t="n">
        <x:v>4</x:v>
      </x:c>
      <x:c r="H119" s="2" t="n">
        <x:v>4200</x:v>
      </x:c>
      <x:c r="I119" s="3" t="n">
        <x:v>0.1</x:v>
      </x:c>
      <x:c r="J119" s="2" t="n">
        <x:v>3000</x:v>
      </x:c>
      <x:c r="K119" s="2" t="n">
        <x:v>120</x:v>
      </x:c>
      <x:c r="L119" s="2" t="n">
        <x:f>G119*H119</x:f>
        <x:v>16800</x:v>
      </x:c>
      <x:c r="M119" s="2" t="n">
        <x:f>ROUND(L119*(1-I119),2)</x:f>
        <x:v>15120</x:v>
      </x:c>
      <x:c r="N119" s="2" t="n">
        <x:f>G119*J119</x:f>
        <x:v>12000</x:v>
      </x:c>
      <x:c r="O119" s="2" t="n">
        <x:f>M119-N119-K119</x:f>
        <x:v>3000</x:v>
      </x:c>
      <x:c r="P119" s="1" t="str">
        <x:f>TEXT(B119,"yyyy-mm")</x:f>
        <x:v>2025-10</x:v>
      </x:c>
    </x:row>
    <x:row r="120">
      <x:c r="A120" s="1" t="str">
        <x:v>ORD-0116</x:v>
      </x:c>
      <x:c r="B120" s="4" t="d">
        <x:v>2025-01-09T00:00:00.000Z</x:v>
      </x:c>
      <x:c r="C120" s="1" t="str">
        <x:v>C-166</x:v>
      </x:c>
      <x:c r="D120" s="1" t="str">
        <x:v>North</x:v>
      </x:c>
      <x:c r="E120" s="1" t="str">
        <x:v>Electronics</x:v>
      </x:c>
      <x:c r="F120" s="1" t="str">
        <x:v>Keyboard</x:v>
      </x:c>
      <x:c r="G120" s="1" t="n">
        <x:v>4</x:v>
      </x:c>
      <x:c r="H120" s="2" t="n">
        <x:v>1500</x:v>
      </x:c>
      <x:c r="I120" s="3" t="n">
        <x:v>0.1</x:v>
      </x:c>
      <x:c r="J120" s="2" t="n">
        <x:v>900</x:v>
      </x:c>
      <x:c r="K120" s="2" t="n">
        <x:v>120</x:v>
      </x:c>
      <x:c r="L120" s="2" t="n">
        <x:f>G120*H120</x:f>
        <x:v>6000</x:v>
      </x:c>
      <x:c r="M120" s="2" t="n">
        <x:f>ROUND(L120*(1-I120),2)</x:f>
        <x:v>5400</x:v>
      </x:c>
      <x:c r="N120" s="2" t="n">
        <x:f>G120*J120</x:f>
        <x:v>3600</x:v>
      </x:c>
      <x:c r="O120" s="2" t="n">
        <x:f>M120-N120-K120</x:f>
        <x:v>1680</x:v>
      </x:c>
      <x:c r="P120" s="1" t="str">
        <x:f>TEXT(B120,"yyyy-mm")</x:f>
        <x:v>2025-01</x:v>
      </x:c>
    </x:row>
    <x:row r="121">
      <x:c r="A121" s="1" t="str">
        <x:v>ORD-0117</x:v>
      </x:c>
      <x:c r="B121" s="4" t="d">
        <x:v>2025-11-28T00:00:00.000Z</x:v>
      </x:c>
      <x:c r="C121" s="1" t="str">
        <x:v>C-278</x:v>
      </x:c>
      <x:c r="D121" s="1" t="str">
        <x:v>West</x:v>
      </x:c>
      <x:c r="E121" s="1" t="str">
        <x:v>Electronics</x:v>
      </x:c>
      <x:c r="F121" s="1" t="str">
        <x:v>Headphones</x:v>
      </x:c>
      <x:c r="G121" s="1" t="n">
        <x:v>4</x:v>
      </x:c>
      <x:c r="H121" s="2" t="n">
        <x:v>2200</x:v>
      </x:c>
      <x:c r="I121" s="3" t="n">
        <x:v>0.35</x:v>
      </x:c>
      <x:c r="J121" s="2" t="n">
        <x:v>1450</x:v>
      </x:c>
      <x:c r="K121" s="2" t="n">
        <x:v>50</x:v>
      </x:c>
      <x:c r="L121" s="2" t="n">
        <x:f>G121*H121</x:f>
        <x:v>8800</x:v>
      </x:c>
      <x:c r="M121" s="2" t="n">
        <x:f>ROUND(L121*(1-I121),2)</x:f>
        <x:v>5720</x:v>
      </x:c>
      <x:c r="N121" s="2" t="n">
        <x:f>G121*J121</x:f>
        <x:v>5800</x:v>
      </x:c>
      <x:c r="O121" s="2" t="n">
        <x:f>M121-N121-K121</x:f>
        <x:v>-130</x:v>
      </x:c>
      <x:c r="P121" s="1" t="str">
        <x:f>TEXT(B121,"yyyy-mm")</x:f>
        <x:v>2025-11</x:v>
      </x:c>
    </x:row>
    <x:row r="122">
      <x:c r="A122" s="1" t="str">
        <x:v>ORD-0118</x:v>
      </x:c>
      <x:c r="B122" s="4" t="d">
        <x:v>2025-03-25T00:00:00.000Z</x:v>
      </x:c>
      <x:c r="C122" s="1" t="str">
        <x:v>C-256</x:v>
      </x:c>
      <x:c r="D122" s="1" t="str">
        <x:v>West</x:v>
      </x:c>
      <x:c r="E122" s="1" t="str">
        <x:v>Fashion</x:v>
      </x:c>
      <x:c r="F122" s="1" t="str">
        <x:v>Backpack</x:v>
      </x:c>
      <x:c r="G122" s="1" t="n">
        <x:v>1</x:v>
      </x:c>
      <x:c r="H122" s="2" t="n">
        <x:v>1300</x:v>
      </x:c>
      <x:c r="I122" s="3" t="n">
        <x:v>0.25</x:v>
      </x:c>
      <x:c r="J122" s="2" t="n">
        <x:v>650</x:v>
      </x:c>
      <x:c r="K122" s="2" t="n">
        <x:v>50</x:v>
      </x:c>
      <x:c r="L122" s="2" t="n">
        <x:f>G122*H122</x:f>
        <x:v>1300</x:v>
      </x:c>
      <x:c r="M122" s="2" t="n">
        <x:f>ROUND(L122*(1-I122),2)</x:f>
        <x:v>975</x:v>
      </x:c>
      <x:c r="N122" s="2" t="n">
        <x:f>G122*J122</x:f>
        <x:v>650</x:v>
      </x:c>
      <x:c r="O122" s="2" t="n">
        <x:f>M122-N122-K122</x:f>
        <x:v>275</x:v>
      </x:c>
      <x:c r="P122" s="1" t="str">
        <x:f>TEXT(B122,"yyyy-mm")</x:f>
        <x:v>2025-03</x:v>
      </x:c>
    </x:row>
    <x:row r="123">
      <x:c r="A123" s="1" t="str">
        <x:v>ORD-0119</x:v>
      </x:c>
      <x:c r="B123" s="4" t="d">
        <x:v>2025-04-15T00:00:00.000Z</x:v>
      </x:c>
      <x:c r="C123" s="1" t="str">
        <x:v>C-249</x:v>
      </x:c>
      <x:c r="D123" s="1" t="str">
        <x:v>North</x:v>
      </x:c>
      <x:c r="E123" s="1" t="str">
        <x:v>Electronics</x:v>
      </x:c>
      <x:c r="F123" s="1" t="str">
        <x:v>Smartwatch</x:v>
      </x:c>
      <x:c r="G123" s="1" t="n">
        <x:v>1</x:v>
      </x:c>
      <x:c r="H123" s="2" t="n">
        <x:v>4200</x:v>
      </x:c>
      <x:c r="I123" s="3" t="n">
        <x:v>0.1</x:v>
      </x:c>
      <x:c r="J123" s="2" t="n">
        <x:v>3000</x:v>
      </x:c>
      <x:c r="K123" s="2" t="n">
        <x:v>120</x:v>
      </x:c>
      <x:c r="L123" s="2" t="n">
        <x:f>G123*H123</x:f>
        <x:v>4200</x:v>
      </x:c>
      <x:c r="M123" s="2" t="n">
        <x:f>ROUND(L123*(1-I123),2)</x:f>
        <x:v>3780</x:v>
      </x:c>
      <x:c r="N123" s="2" t="n">
        <x:f>G123*J123</x:f>
        <x:v>3000</x:v>
      </x:c>
      <x:c r="O123" s="2" t="n">
        <x:f>M123-N123-K123</x:f>
        <x:v>660</x:v>
      </x:c>
      <x:c r="P123" s="1" t="str">
        <x:f>TEXT(B123,"yyyy-mm")</x:f>
        <x:v>2025-04</x:v>
      </x:c>
    </x:row>
    <x:row r="124">
      <x:c r="A124" s="1" t="str">
        <x:v>ORD-0120</x:v>
      </x:c>
      <x:c r="B124" s="4" t="d">
        <x:v>2025-09-06T00:00:00.000Z</x:v>
      </x:c>
      <x:c r="C124" s="1" t="str">
        <x:v>C-160</x:v>
      </x:c>
      <x:c r="D124" s="1" t="str">
        <x:v>North</x:v>
      </x:c>
      <x:c r="E124" s="1" t="str">
        <x:v>Fashion</x:v>
      </x:c>
      <x:c r="F124" s="1" t="str">
        <x:v>T-shirt</x:v>
      </x:c>
      <x:c r="G124" s="1" t="n">
        <x:v>4</x:v>
      </x:c>
      <x:c r="H124" s="2" t="n">
        <x:v>700</x:v>
      </x:c>
      <x:c r="I124" s="3" t="n">
        <x:v>0.35</x:v>
      </x:c>
      <x:c r="J124" s="2" t="n">
        <x:v>300</x:v>
      </x:c>
      <x:c r="K124" s="2" t="n">
        <x:v>50</x:v>
      </x:c>
      <x:c r="L124" s="2" t="n">
        <x:f>G124*H124</x:f>
        <x:v>2800</x:v>
      </x:c>
      <x:c r="M124" s="2" t="n">
        <x:f>ROUND(L124*(1-I124),2)</x:f>
        <x:v>1820</x:v>
      </x:c>
      <x:c r="N124" s="2" t="n">
        <x:f>G124*J124</x:f>
        <x:v>1200</x:v>
      </x:c>
      <x:c r="O124" s="2" t="n">
        <x:f>M124-N124-K124</x:f>
        <x:v>570</x:v>
      </x:c>
      <x:c r="P124" s="1" t="str">
        <x:f>TEXT(B124,"yyyy-mm")</x:f>
        <x:v>2025-09</x:v>
      </x:c>
    </x:row>
    <x:row r="125">
      <x:c r="A125" s="1" t="str">
        <x:v>ORD-0121</x:v>
      </x:c>
      <x:c r="B125" s="4" t="d">
        <x:v>2025-04-04T00:00:00.000Z</x:v>
      </x:c>
      <x:c r="C125" s="1" t="str">
        <x:v>C-079</x:v>
      </x:c>
      <x:c r="D125" s="1" t="str">
        <x:v>West</x:v>
      </x:c>
      <x:c r="E125" s="1" t="str">
        <x:v>Electronics</x:v>
      </x:c>
      <x:c r="F125" s="1" t="str">
        <x:v>Keyboard</x:v>
      </x:c>
      <x:c r="G125" s="1" t="n">
        <x:v>3</x:v>
      </x:c>
      <x:c r="H125" s="2" t="n">
        <x:v>1500</x:v>
      </x:c>
      <x:c r="I125" s="3" t="n">
        <x:v>0.15</x:v>
      </x:c>
      <x:c r="J125" s="2" t="n">
        <x:v>900</x:v>
      </x:c>
      <x:c r="K125" s="2" t="n">
        <x:v>120</x:v>
      </x:c>
      <x:c r="L125" s="2" t="n">
        <x:f>G125*H125</x:f>
        <x:v>4500</x:v>
      </x:c>
      <x:c r="M125" s="2" t="n">
        <x:f>ROUND(L125*(1-I125),2)</x:f>
        <x:v>3825</x:v>
      </x:c>
      <x:c r="N125" s="2" t="n">
        <x:f>G125*J125</x:f>
        <x:v>2700</x:v>
      </x:c>
      <x:c r="O125" s="2" t="n">
        <x:f>M125-N125-K125</x:f>
        <x:v>1005</x:v>
      </x:c>
      <x:c r="P125" s="1" t="str">
        <x:f>TEXT(B125,"yyyy-mm")</x:f>
        <x:v>2025-04</x:v>
      </x:c>
    </x:row>
    <x:row r="126">
      <x:c r="A126" s="1" t="str">
        <x:v>ORD-0122</x:v>
      </x:c>
      <x:c r="B126" s="4" t="d">
        <x:v>2025-10-16T00:00:00.000Z</x:v>
      </x:c>
      <x:c r="C126" s="1" t="str">
        <x:v>C-125</x:v>
      </x:c>
      <x:c r="D126" s="1" t="str">
        <x:v>West</x:v>
      </x:c>
      <x:c r="E126" s="1" t="str">
        <x:v>Home</x:v>
      </x:c>
      <x:c r="F126" s="1" t="str">
        <x:v>Office chair</x:v>
      </x:c>
      <x:c r="G126" s="1" t="n">
        <x:v>2</x:v>
      </x:c>
      <x:c r="H126" s="2" t="n">
        <x:v>5500</x:v>
      </x:c>
      <x:c r="I126" s="3" t="n">
        <x:v>0.15</x:v>
      </x:c>
      <x:c r="J126" s="2" t="n">
        <x:v>4400</x:v>
      </x:c>
      <x:c r="K126" s="2" t="n">
        <x:v>80</x:v>
      </x:c>
      <x:c r="L126" s="2" t="n">
        <x:f>G126*H126</x:f>
        <x:v>11000</x:v>
      </x:c>
      <x:c r="M126" s="2" t="n">
        <x:f>ROUND(L126*(1-I126),2)</x:f>
        <x:v>9350</x:v>
      </x:c>
      <x:c r="N126" s="2" t="n">
        <x:f>G126*J126</x:f>
        <x:v>8800</x:v>
      </x:c>
      <x:c r="O126" s="2" t="n">
        <x:f>M126-N126-K126</x:f>
        <x:v>470</x:v>
      </x:c>
      <x:c r="P126" s="1" t="str">
        <x:f>TEXT(B126,"yyyy-mm")</x:f>
        <x:v>2025-10</x:v>
      </x:c>
    </x:row>
    <x:row r="127">
      <x:c r="A127" s="1" t="str">
        <x:v>ORD-0123</x:v>
      </x:c>
      <x:c r="B127" s="4" t="d">
        <x:v>2025-03-29T00:00:00.000Z</x:v>
      </x:c>
      <x:c r="C127" s="1" t="str">
        <x:v>C-070</x:v>
      </x:c>
      <x:c r="D127" s="1" t="str">
        <x:v>North</x:v>
      </x:c>
      <x:c r="E127" s="1" t="str">
        <x:v>Home</x:v>
      </x:c>
      <x:c r="F127" s="1" t="str">
        <x:v>Storage box</x:v>
      </x:c>
      <x:c r="G127" s="1" t="n">
        <x:v>3</x:v>
      </x:c>
      <x:c r="H127" s="2" t="n">
        <x:v>800</x:v>
      </x:c>
      <x:c r="I127" s="3" t="n">
        <x:v>0.35</x:v>
      </x:c>
      <x:c r="J127" s="2" t="n">
        <x:v>420</x:v>
      </x:c>
      <x:c r="K127" s="2" t="n">
        <x:v>80</x:v>
      </x:c>
      <x:c r="L127" s="2" t="n">
        <x:f>G127*H127</x:f>
        <x:v>2400</x:v>
      </x:c>
      <x:c r="M127" s="2" t="n">
        <x:f>ROUND(L127*(1-I127),2)</x:f>
        <x:v>1560</x:v>
      </x:c>
      <x:c r="N127" s="2" t="n">
        <x:f>G127*J127</x:f>
        <x:v>1260</x:v>
      </x:c>
      <x:c r="O127" s="2" t="n">
        <x:f>M127-N127-K127</x:f>
        <x:v>220</x:v>
      </x:c>
      <x:c r="P127" s="1" t="str">
        <x:f>TEXT(B127,"yyyy-mm")</x:f>
        <x:v>2025-03</x:v>
      </x:c>
    </x:row>
    <x:row r="128">
      <x:c r="A128" s="1" t="str">
        <x:v>ORD-0124</x:v>
      </x:c>
      <x:c r="B128" s="4" t="d">
        <x:v>2025-06-27T00:00:00.000Z</x:v>
      </x:c>
      <x:c r="C128" s="1" t="str">
        <x:v>C-002</x:v>
      </x:c>
      <x:c r="D128" s="1" t="str">
        <x:v>East</x:v>
      </x:c>
      <x:c r="E128" s="1" t="str">
        <x:v>Home</x:v>
      </x:c>
      <x:c r="F128" s="1" t="str">
        <x:v>Storage box</x:v>
      </x:c>
      <x:c r="G128" s="1" t="n">
        <x:v>3</x:v>
      </x:c>
      <x:c r="H128" s="2" t="n">
        <x:v>800</x:v>
      </x:c>
      <x:c r="I128" s="3" t="n">
        <x:v>0.1</x:v>
      </x:c>
      <x:c r="J128" s="2" t="n">
        <x:v>420</x:v>
      </x:c>
      <x:c r="K128" s="2" t="n">
        <x:v>120</x:v>
      </x:c>
      <x:c r="L128" s="2" t="n">
        <x:f>G128*H128</x:f>
        <x:v>2400</x:v>
      </x:c>
      <x:c r="M128" s="2" t="n">
        <x:f>ROUND(L128*(1-I128),2)</x:f>
        <x:v>2160</x:v>
      </x:c>
      <x:c r="N128" s="2" t="n">
        <x:f>G128*J128</x:f>
        <x:v>1260</x:v>
      </x:c>
      <x:c r="O128" s="2" t="n">
        <x:f>M128-N128-K128</x:f>
        <x:v>780</x:v>
      </x:c>
      <x:c r="P128" s="1" t="str">
        <x:f>TEXT(B128,"yyyy-mm")</x:f>
        <x:v>2025-06</x:v>
      </x:c>
    </x:row>
    <x:row r="129">
      <x:c r="A129" s="1" t="str">
        <x:v>ORD-0125</x:v>
      </x:c>
      <x:c r="B129" s="4" t="d">
        <x:v>2025-09-15T00:00:00.000Z</x:v>
      </x:c>
      <x:c r="C129" s="1" t="str">
        <x:v>C-276</x:v>
      </x:c>
      <x:c r="D129" s="1" t="str">
        <x:v>West</x:v>
      </x:c>
      <x:c r="E129" s="1" t="str">
        <x:v>Home</x:v>
      </x:c>
      <x:c r="F129" s="1" t="str">
        <x:v>Desk lamp</x:v>
      </x:c>
      <x:c r="G129" s="1" t="n">
        <x:v>3</x:v>
      </x:c>
      <x:c r="H129" s="2" t="n">
        <x:v>1100</x:v>
      </x:c>
      <x:c r="I129" s="3" t="n">
        <x:v>0.05</x:v>
      </x:c>
      <x:c r="J129" s="2" t="n">
        <x:v>650</x:v>
      </x:c>
      <x:c r="K129" s="2" t="n">
        <x:v>80</x:v>
      </x:c>
      <x:c r="L129" s="2" t="n">
        <x:f>G129*H129</x:f>
        <x:v>3300</x:v>
      </x:c>
      <x:c r="M129" s="2" t="n">
        <x:f>ROUND(L129*(1-I129),2)</x:f>
        <x:v>3135</x:v>
      </x:c>
      <x:c r="N129" s="2" t="n">
        <x:f>G129*J129</x:f>
        <x:v>1950</x:v>
      </x:c>
      <x:c r="O129" s="2" t="n">
        <x:f>M129-N129-K129</x:f>
        <x:v>1105</x:v>
      </x:c>
      <x:c r="P129" s="1" t="str">
        <x:f>TEXT(B129,"yyyy-mm")</x:f>
        <x:v>2025-09</x:v>
      </x:c>
    </x:row>
    <x:row r="130">
      <x:c r="A130" s="1" t="str">
        <x:v>ORD-0126</x:v>
      </x:c>
      <x:c r="B130" s="4" t="d">
        <x:v>2025-08-15T00:00:00.000Z</x:v>
      </x:c>
      <x:c r="C130" s="1" t="str">
        <x:v>C-165</x:v>
      </x:c>
      <x:c r="D130" s="1" t="str">
        <x:v>South</x:v>
      </x:c>
      <x:c r="E130" s="1" t="str">
        <x:v>Home</x:v>
      </x:c>
      <x:c r="F130" s="1" t="str">
        <x:v>Storage box</x:v>
      </x:c>
      <x:c r="G130" s="1" t="n">
        <x:v>2</x:v>
      </x:c>
      <x:c r="H130" s="2" t="n">
        <x:v>800</x:v>
      </x:c>
      <x:c r="I130" s="3" t="n">
        <x:v>0.15</x:v>
      </x:c>
      <x:c r="J130" s="2" t="n">
        <x:v>420</x:v>
      </x:c>
      <x:c r="K130" s="2" t="n">
        <x:v>120</x:v>
      </x:c>
      <x:c r="L130" s="2" t="n">
        <x:f>G130*H130</x:f>
        <x:v>1600</x:v>
      </x:c>
      <x:c r="M130" s="2" t="n">
        <x:f>ROUND(L130*(1-I130),2)</x:f>
        <x:v>1360</x:v>
      </x:c>
      <x:c r="N130" s="2" t="n">
        <x:f>G130*J130</x:f>
        <x:v>840</x:v>
      </x:c>
      <x:c r="O130" s="2" t="n">
        <x:f>M130-N130-K130</x:f>
        <x:v>400</x:v>
      </x:c>
      <x:c r="P130" s="1" t="str">
        <x:f>TEXT(B130,"yyyy-mm")</x:f>
        <x:v>2025-08</x:v>
      </x:c>
    </x:row>
    <x:row r="131">
      <x:c r="A131" s="1" t="str">
        <x:v>ORD-0127</x:v>
      </x:c>
      <x:c r="B131" s="4" t="d">
        <x:v>2025-06-11T00:00:00.000Z</x:v>
      </x:c>
      <x:c r="C131" s="1" t="str">
        <x:v>C-243</x:v>
      </x:c>
      <x:c r="D131" s="1" t="str">
        <x:v>West</x:v>
      </x:c>
      <x:c r="E131" s="1" t="str">
        <x:v>Home</x:v>
      </x:c>
      <x:c r="F131" s="1" t="str">
        <x:v>Office chair</x:v>
      </x:c>
      <x:c r="G131" s="1" t="n">
        <x:v>4</x:v>
      </x:c>
      <x:c r="H131" s="2" t="n">
        <x:v>5500</x:v>
      </x:c>
      <x:c r="I131" s="3" t="n">
        <x:v>0</x:v>
      </x:c>
      <x:c r="J131" s="2" t="n">
        <x:v>4400</x:v>
      </x:c>
      <x:c r="K131" s="2" t="n">
        <x:v>120</x:v>
      </x:c>
      <x:c r="L131" s="2" t="n">
        <x:f>G131*H131</x:f>
        <x:v>22000</x:v>
      </x:c>
      <x:c r="M131" s="2" t="n">
        <x:f>ROUND(L131*(1-I131),2)</x:f>
        <x:v>22000</x:v>
      </x:c>
      <x:c r="N131" s="2" t="n">
        <x:f>G131*J131</x:f>
        <x:v>17600</x:v>
      </x:c>
      <x:c r="O131" s="2" t="n">
        <x:f>M131-N131-K131</x:f>
        <x:v>4280</x:v>
      </x:c>
      <x:c r="P131" s="1" t="str">
        <x:f>TEXT(B131,"yyyy-mm")</x:f>
        <x:v>2025-06</x:v>
      </x:c>
    </x:row>
    <x:row r="132">
      <x:c r="A132" s="1" t="str">
        <x:v>ORD-0128</x:v>
      </x:c>
      <x:c r="B132" s="4" t="d">
        <x:v>2025-11-02T00:00:00.000Z</x:v>
      </x:c>
      <x:c r="C132" s="1" t="str">
        <x:v>C-065</x:v>
      </x:c>
      <x:c r="D132" s="1" t="str">
        <x:v>East</x:v>
      </x:c>
      <x:c r="E132" s="1" t="str">
        <x:v>Electronics</x:v>
      </x:c>
      <x:c r="F132" s="1" t="str">
        <x:v>Smartwatch</x:v>
      </x:c>
      <x:c r="G132" s="1" t="n">
        <x:v>1</x:v>
      </x:c>
      <x:c r="H132" s="2" t="n">
        <x:v>4200</x:v>
      </x:c>
      <x:c r="I132" s="3" t="n">
        <x:v>0.15</x:v>
      </x:c>
      <x:c r="J132" s="2" t="n">
        <x:v>3000</x:v>
      </x:c>
      <x:c r="K132" s="2" t="n">
        <x:v>80</x:v>
      </x:c>
      <x:c r="L132" s="2" t="n">
        <x:f>G132*H132</x:f>
        <x:v>4200</x:v>
      </x:c>
      <x:c r="M132" s="2" t="n">
        <x:f>ROUND(L132*(1-I132),2)</x:f>
        <x:v>3570</x:v>
      </x:c>
      <x:c r="N132" s="2" t="n">
        <x:f>G132*J132</x:f>
        <x:v>3000</x:v>
      </x:c>
      <x:c r="O132" s="2" t="n">
        <x:f>M132-N132-K132</x:f>
        <x:v>490</x:v>
      </x:c>
      <x:c r="P132" s="1" t="str">
        <x:f>TEXT(B132,"yyyy-mm")</x:f>
        <x:v>2025-11</x:v>
      </x:c>
    </x:row>
    <x:row r="133">
      <x:c r="A133" s="1" t="str">
        <x:v>ORD-0129</x:v>
      </x:c>
      <x:c r="B133" s="4" t="d">
        <x:v>2025-02-24T00:00:00.000Z</x:v>
      </x:c>
      <x:c r="C133" s="1" t="str">
        <x:v>C-074</x:v>
      </x:c>
      <x:c r="D133" s="1" t="str">
        <x:v>West</x:v>
      </x:c>
      <x:c r="E133" s="1" t="str">
        <x:v>Home</x:v>
      </x:c>
      <x:c r="F133" s="1" t="str">
        <x:v>Desk lamp</x:v>
      </x:c>
      <x:c r="G133" s="1" t="n">
        <x:v>2</x:v>
      </x:c>
      <x:c r="H133" s="2" t="n">
        <x:v>1100</x:v>
      </x:c>
      <x:c r="I133" s="3" t="n">
        <x:v>0</x:v>
      </x:c>
      <x:c r="J133" s="2" t="n">
        <x:v>650</x:v>
      </x:c>
      <x:c r="K133" s="2" t="n">
        <x:v>50</x:v>
      </x:c>
      <x:c r="L133" s="2" t="n">
        <x:f>G133*H133</x:f>
        <x:v>2200</x:v>
      </x:c>
      <x:c r="M133" s="2" t="n">
        <x:f>ROUND(L133*(1-I133),2)</x:f>
        <x:v>2200</x:v>
      </x:c>
      <x:c r="N133" s="2" t="n">
        <x:f>G133*J133</x:f>
        <x:v>1300</x:v>
      </x:c>
      <x:c r="O133" s="2" t="n">
        <x:f>M133-N133-K133</x:f>
        <x:v>850</x:v>
      </x:c>
      <x:c r="P133" s="1" t="str">
        <x:f>TEXT(B133,"yyyy-mm")</x:f>
        <x:v>2025-02</x:v>
      </x:c>
    </x:row>
    <x:row r="134">
      <x:c r="A134" s="1" t="str">
        <x:v>ORD-0130</x:v>
      </x:c>
      <x:c r="B134" s="4" t="d">
        <x:v>2025-07-20T00:00:00.000Z</x:v>
      </x:c>
      <x:c r="C134" s="1" t="str">
        <x:v>C-204</x:v>
      </x:c>
      <x:c r="D134" s="1" t="str">
        <x:v>North</x:v>
      </x:c>
      <x:c r="E134" s="1" t="str">
        <x:v>Fashion</x:v>
      </x:c>
      <x:c r="F134" s="1" t="str">
        <x:v>Sneakers</x:v>
      </x:c>
      <x:c r="G134" s="1" t="n">
        <x:v>3</x:v>
      </x:c>
      <x:c r="H134" s="2" t="n">
        <x:v>2400</x:v>
      </x:c>
      <x:c r="I134" s="3" t="n">
        <x:v>0.1</x:v>
      </x:c>
      <x:c r="J134" s="2" t="n">
        <x:v>1200</x:v>
      </x:c>
      <x:c r="K134" s="2" t="n">
        <x:v>120</x:v>
      </x:c>
      <x:c r="L134" s="2" t="n">
        <x:f>G134*H134</x:f>
        <x:v>7200</x:v>
      </x:c>
      <x:c r="M134" s="2" t="n">
        <x:f>ROUND(L134*(1-I134),2)</x:f>
        <x:v>6480</x:v>
      </x:c>
      <x:c r="N134" s="2" t="n">
        <x:f>G134*J134</x:f>
        <x:v>3600</x:v>
      </x:c>
      <x:c r="O134" s="2" t="n">
        <x:f>M134-N134-K134</x:f>
        <x:v>2760</x:v>
      </x:c>
      <x:c r="P134" s="1" t="str">
        <x:f>TEXT(B134,"yyyy-mm")</x:f>
        <x:v>2025-07</x:v>
      </x:c>
    </x:row>
    <x:row r="135">
      <x:c r="A135" s="1" t="str">
        <x:v>ORD-0131</x:v>
      </x:c>
      <x:c r="B135" s="4" t="d">
        <x:v>2025-11-21T00:00:00.000Z</x:v>
      </x:c>
      <x:c r="C135" s="1" t="str">
        <x:v>C-250</x:v>
      </x:c>
      <x:c r="D135" s="1" t="str">
        <x:v>North</x:v>
      </x:c>
      <x:c r="E135" s="1" t="str">
        <x:v>Home</x:v>
      </x:c>
      <x:c r="F135" s="1" t="str">
        <x:v>Office chair</x:v>
      </x:c>
      <x:c r="G135" s="1" t="n">
        <x:v>1</x:v>
      </x:c>
      <x:c r="H135" s="2" t="n">
        <x:v>5500</x:v>
      </x:c>
      <x:c r="I135" s="3" t="n">
        <x:v>0.1</x:v>
      </x:c>
      <x:c r="J135" s="2" t="n">
        <x:v>4400</x:v>
      </x:c>
      <x:c r="K135" s="2" t="n">
        <x:v>50</x:v>
      </x:c>
      <x:c r="L135" s="2" t="n">
        <x:f>G135*H135</x:f>
        <x:v>5500</x:v>
      </x:c>
      <x:c r="M135" s="2" t="n">
        <x:f>ROUND(L135*(1-I135),2)</x:f>
        <x:v>4950</x:v>
      </x:c>
      <x:c r="N135" s="2" t="n">
        <x:f>G135*J135</x:f>
        <x:v>4400</x:v>
      </x:c>
      <x:c r="O135" s="2" t="n">
        <x:f>M135-N135-K135</x:f>
        <x:v>500</x:v>
      </x:c>
      <x:c r="P135" s="1" t="str">
        <x:f>TEXT(B135,"yyyy-mm")</x:f>
        <x:v>2025-11</x:v>
      </x:c>
    </x:row>
    <x:row r="136">
      <x:c r="A136" s="1" t="str">
        <x:v>ORD-0132</x:v>
      </x:c>
      <x:c r="B136" s="4" t="d">
        <x:v>2025-09-24T00:00:00.000Z</x:v>
      </x:c>
      <x:c r="C136" s="1" t="str">
        <x:v>C-047</x:v>
      </x:c>
      <x:c r="D136" s="1" t="str">
        <x:v>West</x:v>
      </x:c>
      <x:c r="E136" s="1" t="str">
        <x:v>Fashion</x:v>
      </x:c>
      <x:c r="F136" s="1" t="str">
        <x:v>Sneakers</x:v>
      </x:c>
      <x:c r="G136" s="1" t="n">
        <x:v>1</x:v>
      </x:c>
      <x:c r="H136" s="2" t="n">
        <x:v>2400</x:v>
      </x:c>
      <x:c r="I136" s="3" t="n">
        <x:v>0.05</x:v>
      </x:c>
      <x:c r="J136" s="2" t="n">
        <x:v>1200</x:v>
      </x:c>
      <x:c r="K136" s="2" t="n">
        <x:v>120</x:v>
      </x:c>
      <x:c r="L136" s="2" t="n">
        <x:f>G136*H136</x:f>
        <x:v>2400</x:v>
      </x:c>
      <x:c r="M136" s="2" t="n">
        <x:f>ROUND(L136*(1-I136),2)</x:f>
        <x:v>2280</x:v>
      </x:c>
      <x:c r="N136" s="2" t="n">
        <x:f>G136*J136</x:f>
        <x:v>1200</x:v>
      </x:c>
      <x:c r="O136" s="2" t="n">
        <x:f>M136-N136-K136</x:f>
        <x:v>960</x:v>
      </x:c>
      <x:c r="P136" s="1" t="str">
        <x:f>TEXT(B136,"yyyy-mm")</x:f>
        <x:v>2025-09</x:v>
      </x:c>
    </x:row>
    <x:row r="137">
      <x:c r="A137" s="1" t="str">
        <x:v>ORD-0133</x:v>
      </x:c>
      <x:c r="B137" s="4" t="d">
        <x:v>2025-10-06T00:00:00.000Z</x:v>
      </x:c>
      <x:c r="C137" s="1" t="str">
        <x:v>C-154</x:v>
      </x:c>
      <x:c r="D137" s="1" t="str">
        <x:v>North</x:v>
      </x:c>
      <x:c r="E137" s="1" t="str">
        <x:v>Electronics</x:v>
      </x:c>
      <x:c r="F137" s="1" t="str">
        <x:v>Keyboard</x:v>
      </x:c>
      <x:c r="G137" s="1" t="n">
        <x:v>1</x:v>
      </x:c>
      <x:c r="H137" s="2" t="n">
        <x:v>1500</x:v>
      </x:c>
      <x:c r="I137" s="3" t="n">
        <x:v>0.15</x:v>
      </x:c>
      <x:c r="J137" s="2" t="n">
        <x:v>900</x:v>
      </x:c>
      <x:c r="K137" s="2" t="n">
        <x:v>80</x:v>
      </x:c>
      <x:c r="L137" s="2" t="n">
        <x:f>G137*H137</x:f>
        <x:v>1500</x:v>
      </x:c>
      <x:c r="M137" s="2" t="n">
        <x:f>ROUND(L137*(1-I137),2)</x:f>
        <x:v>1275</x:v>
      </x:c>
      <x:c r="N137" s="2" t="n">
        <x:f>G137*J137</x:f>
        <x:v>900</x:v>
      </x:c>
      <x:c r="O137" s="2" t="n">
        <x:f>M137-N137-K137</x:f>
        <x:v>295</x:v>
      </x:c>
      <x:c r="P137" s="1" t="str">
        <x:f>TEXT(B137,"yyyy-mm")</x:f>
        <x:v>2025-10</x:v>
      </x:c>
    </x:row>
    <x:row r="138">
      <x:c r="A138" s="1" t="str">
        <x:v>ORD-0134</x:v>
      </x:c>
      <x:c r="B138" s="4" t="d">
        <x:v>2025-11-12T00:00:00.000Z</x:v>
      </x:c>
      <x:c r="C138" s="1" t="str">
        <x:v>C-221</x:v>
      </x:c>
      <x:c r="D138" s="1" t="str">
        <x:v>South</x:v>
      </x:c>
      <x:c r="E138" s="1" t="str">
        <x:v>Fashion</x:v>
      </x:c>
      <x:c r="F138" s="1" t="str">
        <x:v>Sneakers</x:v>
      </x:c>
      <x:c r="G138" s="1" t="n">
        <x:v>2</x:v>
      </x:c>
      <x:c r="H138" s="2" t="n">
        <x:v>2400</x:v>
      </x:c>
      <x:c r="I138" s="3" t="n">
        <x:v>0.1</x:v>
      </x:c>
      <x:c r="J138" s="2" t="n">
        <x:v>1200</x:v>
      </x:c>
      <x:c r="K138" s="2" t="n">
        <x:v>120</x:v>
      </x:c>
      <x:c r="L138" s="2" t="n">
        <x:f>G138*H138</x:f>
        <x:v>4800</x:v>
      </x:c>
      <x:c r="M138" s="2" t="n">
        <x:f>ROUND(L138*(1-I138),2)</x:f>
        <x:v>4320</x:v>
      </x:c>
      <x:c r="N138" s="2" t="n">
        <x:f>G138*J138</x:f>
        <x:v>2400</x:v>
      </x:c>
      <x:c r="O138" s="2" t="n">
        <x:f>M138-N138-K138</x:f>
        <x:v>1800</x:v>
      </x:c>
      <x:c r="P138" s="1" t="str">
        <x:f>TEXT(B138,"yyyy-mm")</x:f>
        <x:v>2025-11</x:v>
      </x:c>
    </x:row>
    <x:row r="139">
      <x:c r="A139" s="1" t="str">
        <x:v>ORD-0135</x:v>
      </x:c>
      <x:c r="B139" s="4" t="d">
        <x:v>2025-07-06T00:00:00.000Z</x:v>
      </x:c>
      <x:c r="C139" s="1" t="str">
        <x:v>C-041</x:v>
      </x:c>
      <x:c r="D139" s="1" t="str">
        <x:v>West</x:v>
      </x:c>
      <x:c r="E139" s="1" t="str">
        <x:v>Electronics</x:v>
      </x:c>
      <x:c r="F139" s="1" t="str">
        <x:v>Smartwatch</x:v>
      </x:c>
      <x:c r="G139" s="1" t="n">
        <x:v>2</x:v>
      </x:c>
      <x:c r="H139" s="2" t="n">
        <x:v>4200</x:v>
      </x:c>
      <x:c r="I139" s="3" t="n">
        <x:v>0.05</x:v>
      </x:c>
      <x:c r="J139" s="2" t="n">
        <x:v>3000</x:v>
      </x:c>
      <x:c r="K139" s="2" t="n">
        <x:v>80</x:v>
      </x:c>
      <x:c r="L139" s="2" t="n">
        <x:f>G139*H139</x:f>
        <x:v>8400</x:v>
      </x:c>
      <x:c r="M139" s="2" t="n">
        <x:f>ROUND(L139*(1-I139),2)</x:f>
        <x:v>7980</x:v>
      </x:c>
      <x:c r="N139" s="2" t="n">
        <x:f>G139*J139</x:f>
        <x:v>6000</x:v>
      </x:c>
      <x:c r="O139" s="2" t="n">
        <x:f>M139-N139-K139</x:f>
        <x:v>1900</x:v>
      </x:c>
      <x:c r="P139" s="1" t="str">
        <x:f>TEXT(B139,"yyyy-mm")</x:f>
        <x:v>2025-07</x:v>
      </x:c>
    </x:row>
    <x:row r="140">
      <x:c r="A140" s="1" t="str">
        <x:v>ORD-0136</x:v>
      </x:c>
      <x:c r="B140" s="4" t="d">
        <x:v>2025-12-15T00:00:00.000Z</x:v>
      </x:c>
      <x:c r="C140" s="1" t="str">
        <x:v>C-131</x:v>
      </x:c>
      <x:c r="D140" s="1" t="str">
        <x:v>West</x:v>
      </x:c>
      <x:c r="E140" s="1" t="str">
        <x:v>Electronics</x:v>
      </x:c>
      <x:c r="F140" s="1" t="str">
        <x:v>Smartwatch</x:v>
      </x:c>
      <x:c r="G140" s="1" t="n">
        <x:v>3</x:v>
      </x:c>
      <x:c r="H140" s="2" t="n">
        <x:v>4200</x:v>
      </x:c>
      <x:c r="I140" s="3" t="n">
        <x:v>0.05</x:v>
      </x:c>
      <x:c r="J140" s="2" t="n">
        <x:v>3000</x:v>
      </x:c>
      <x:c r="K140" s="2" t="n">
        <x:v>120</x:v>
      </x:c>
      <x:c r="L140" s="2" t="n">
        <x:f>G140*H140</x:f>
        <x:v>12600</x:v>
      </x:c>
      <x:c r="M140" s="2" t="n">
        <x:f>ROUND(L140*(1-I140),2)</x:f>
        <x:v>11970</x:v>
      </x:c>
      <x:c r="N140" s="2" t="n">
        <x:f>G140*J140</x:f>
        <x:v>9000</x:v>
      </x:c>
      <x:c r="O140" s="2" t="n">
        <x:f>M140-N140-K140</x:f>
        <x:v>2850</x:v>
      </x:c>
      <x:c r="P140" s="1" t="str">
        <x:f>TEXT(B140,"yyyy-mm")</x:f>
        <x:v>2025-12</x:v>
      </x:c>
    </x:row>
    <x:row r="141">
      <x:c r="A141" s="1" t="str">
        <x:v>ORD-0137</x:v>
      </x:c>
      <x:c r="B141" s="4" t="d">
        <x:v>2025-01-22T00:00:00.000Z</x:v>
      </x:c>
      <x:c r="C141" s="1" t="str">
        <x:v>C-280</x:v>
      </x:c>
      <x:c r="D141" s="1" t="str">
        <x:v>South</x:v>
      </x:c>
      <x:c r="E141" s="1" t="str">
        <x:v>Home</x:v>
      </x:c>
      <x:c r="F141" s="1" t="str">
        <x:v>Desk lamp</x:v>
      </x:c>
      <x:c r="G141" s="1" t="n">
        <x:v>1</x:v>
      </x:c>
      <x:c r="H141" s="2" t="n">
        <x:v>1100</x:v>
      </x:c>
      <x:c r="I141" s="3" t="n">
        <x:v>0.1</x:v>
      </x:c>
      <x:c r="J141" s="2" t="n">
        <x:v>650</x:v>
      </x:c>
      <x:c r="K141" s="2" t="n">
        <x:v>80</x:v>
      </x:c>
      <x:c r="L141" s="2" t="n">
        <x:f>G141*H141</x:f>
        <x:v>1100</x:v>
      </x:c>
      <x:c r="M141" s="2" t="n">
        <x:f>ROUND(L141*(1-I141),2)</x:f>
        <x:v>990</x:v>
      </x:c>
      <x:c r="N141" s="2" t="n">
        <x:f>G141*J141</x:f>
        <x:v>650</x:v>
      </x:c>
      <x:c r="O141" s="2" t="n">
        <x:f>M141-N141-K141</x:f>
        <x:v>260</x:v>
      </x:c>
      <x:c r="P141" s="1" t="str">
        <x:f>TEXT(B141,"yyyy-mm")</x:f>
        <x:v>2025-01</x:v>
      </x:c>
    </x:row>
    <x:row r="142">
      <x:c r="A142" s="1" t="str">
        <x:v>ORD-0138</x:v>
      </x:c>
      <x:c r="B142" s="4" t="d">
        <x:v>2025-12-31T00:00:00.000Z</x:v>
      </x:c>
      <x:c r="C142" s="1" t="str">
        <x:v>C-218</x:v>
      </x:c>
      <x:c r="D142" s="1" t="str">
        <x:v>East</x:v>
      </x:c>
      <x:c r="E142" s="1" t="str">
        <x:v>Fashion</x:v>
      </x:c>
      <x:c r="F142" s="1" t="str">
        <x:v>Sneakers</x:v>
      </x:c>
      <x:c r="G142" s="1" t="n">
        <x:v>4</x:v>
      </x:c>
      <x:c r="H142" s="2" t="n">
        <x:v>2400</x:v>
      </x:c>
      <x:c r="I142" s="3" t="n">
        <x:v>0.35</x:v>
      </x:c>
      <x:c r="J142" s="2" t="n">
        <x:v>1200</x:v>
      </x:c>
      <x:c r="K142" s="2" t="n">
        <x:v>80</x:v>
      </x:c>
      <x:c r="L142" s="2" t="n">
        <x:f>G142*H142</x:f>
        <x:v>9600</x:v>
      </x:c>
      <x:c r="M142" s="2" t="n">
        <x:f>ROUND(L142*(1-I142),2)</x:f>
        <x:v>6240</x:v>
      </x:c>
      <x:c r="N142" s="2" t="n">
        <x:f>G142*J142</x:f>
        <x:v>4800</x:v>
      </x:c>
      <x:c r="O142" s="2" t="n">
        <x:f>M142-N142-K142</x:f>
        <x:v>1360</x:v>
      </x:c>
      <x:c r="P142" s="1" t="str">
        <x:f>TEXT(B142,"yyyy-mm")</x:f>
        <x:v>2025-12</x:v>
      </x:c>
    </x:row>
    <x:row r="143">
      <x:c r="A143" s="1" t="str">
        <x:v>ORD-0139</x:v>
      </x:c>
      <x:c r="B143" s="4" t="d">
        <x:v>2025-04-04T00:00:00.000Z</x:v>
      </x:c>
      <x:c r="C143" s="1" t="str">
        <x:v>C-122</x:v>
      </x:c>
      <x:c r="D143" s="1" t="str">
        <x:v>West</x:v>
      </x:c>
      <x:c r="E143" s="1" t="str">
        <x:v>Home</x:v>
      </x:c>
      <x:c r="F143" s="1" t="str">
        <x:v>Office chair</x:v>
      </x:c>
      <x:c r="G143" s="1" t="n">
        <x:v>3</x:v>
      </x:c>
      <x:c r="H143" s="2" t="n">
        <x:v>5500</x:v>
      </x:c>
      <x:c r="I143" s="3" t="n">
        <x:v>0.15</x:v>
      </x:c>
      <x:c r="J143" s="2" t="n">
        <x:v>4400</x:v>
      </x:c>
      <x:c r="K143" s="2" t="n">
        <x:v>120</x:v>
      </x:c>
      <x:c r="L143" s="2" t="n">
        <x:f>G143*H143</x:f>
        <x:v>16500</x:v>
      </x:c>
      <x:c r="M143" s="2" t="n">
        <x:f>ROUND(L143*(1-I143),2)</x:f>
        <x:v>14025</x:v>
      </x:c>
      <x:c r="N143" s="2" t="n">
        <x:f>G143*J143</x:f>
        <x:v>13200</x:v>
      </x:c>
      <x:c r="O143" s="2" t="n">
        <x:f>M143-N143-K143</x:f>
        <x:v>705</x:v>
      </x:c>
      <x:c r="P143" s="1" t="str">
        <x:f>TEXT(B143,"yyyy-mm")</x:f>
        <x:v>2025-04</x:v>
      </x:c>
    </x:row>
    <x:row r="144">
      <x:c r="A144" s="1" t="str">
        <x:v>ORD-0140</x:v>
      </x:c>
      <x:c r="B144" s="4" t="d">
        <x:v>2025-05-27T00:00:00.000Z</x:v>
      </x:c>
      <x:c r="C144" s="1" t="str">
        <x:v>C-203</x:v>
      </x:c>
      <x:c r="D144" s="1" t="str">
        <x:v>East</x:v>
      </x:c>
      <x:c r="E144" s="1" t="str">
        <x:v>Fashion</x:v>
      </x:c>
      <x:c r="F144" s="1" t="str">
        <x:v>Sneakers</x:v>
      </x:c>
      <x:c r="G144" s="1" t="n">
        <x:v>1</x:v>
      </x:c>
      <x:c r="H144" s="2" t="n">
        <x:v>2400</x:v>
      </x:c>
      <x:c r="I144" s="3" t="n">
        <x:v>0</x:v>
      </x:c>
      <x:c r="J144" s="2" t="n">
        <x:v>1200</x:v>
      </x:c>
      <x:c r="K144" s="2" t="n">
        <x:v>120</x:v>
      </x:c>
      <x:c r="L144" s="2" t="n">
        <x:f>G144*H144</x:f>
        <x:v>2400</x:v>
      </x:c>
      <x:c r="M144" s="2" t="n">
        <x:f>ROUND(L144*(1-I144),2)</x:f>
        <x:v>2400</x:v>
      </x:c>
      <x:c r="N144" s="2" t="n">
        <x:f>G144*J144</x:f>
        <x:v>1200</x:v>
      </x:c>
      <x:c r="O144" s="2" t="n">
        <x:f>M144-N144-K144</x:f>
        <x:v>1080</x:v>
      </x:c>
      <x:c r="P144" s="1" t="str">
        <x:f>TEXT(B144,"yyyy-mm")</x:f>
        <x:v>2025-05</x:v>
      </x:c>
    </x:row>
    <x:row r="145">
      <x:c r="A145" s="1" t="str">
        <x:v>ORD-0141</x:v>
      </x:c>
      <x:c r="B145" s="4" t="d">
        <x:v>2025-11-24T00:00:00.000Z</x:v>
      </x:c>
      <x:c r="C145" s="1" t="str">
        <x:v>C-255</x:v>
      </x:c>
      <x:c r="D145" s="1" t="str">
        <x:v>East</x:v>
      </x:c>
      <x:c r="E145" s="1" t="str">
        <x:v>Electronics</x:v>
      </x:c>
      <x:c r="F145" s="1" t="str">
        <x:v>Headphones</x:v>
      </x:c>
      <x:c r="G145" s="1" t="n">
        <x:v>2</x:v>
      </x:c>
      <x:c r="H145" s="2" t="n">
        <x:v>2200</x:v>
      </x:c>
      <x:c r="I145" s="3" t="n">
        <x:v>0.25</x:v>
      </x:c>
      <x:c r="J145" s="2" t="n">
        <x:v>1450</x:v>
      </x:c>
      <x:c r="K145" s="2" t="n">
        <x:v>120</x:v>
      </x:c>
      <x:c r="L145" s="2" t="n">
        <x:f>G145*H145</x:f>
        <x:v>4400</x:v>
      </x:c>
      <x:c r="M145" s="2" t="n">
        <x:f>ROUND(L145*(1-I145),2)</x:f>
        <x:v>3300</x:v>
      </x:c>
      <x:c r="N145" s="2" t="n">
        <x:f>G145*J145</x:f>
        <x:v>2900</x:v>
      </x:c>
      <x:c r="O145" s="2" t="n">
        <x:f>M145-N145-K145</x:f>
        <x:v>280</x:v>
      </x:c>
      <x:c r="P145" s="1" t="str">
        <x:f>TEXT(B145,"yyyy-mm")</x:f>
        <x:v>2025-11</x:v>
      </x:c>
    </x:row>
    <x:row r="146">
      <x:c r="A146" s="1" t="str">
        <x:v>ORD-0142</x:v>
      </x:c>
      <x:c r="B146" s="4" t="d">
        <x:v>2025-11-07T00:00:00.000Z</x:v>
      </x:c>
      <x:c r="C146" s="1" t="str">
        <x:v>C-129</x:v>
      </x:c>
      <x:c r="D146" s="1" t="str">
        <x:v>South</x:v>
      </x:c>
      <x:c r="E146" s="1" t="str">
        <x:v>Fashion</x:v>
      </x:c>
      <x:c r="F146" s="1" t="str">
        <x:v>T-shirt</x:v>
      </x:c>
      <x:c r="G146" s="1" t="n">
        <x:v>1</x:v>
      </x:c>
      <x:c r="H146" s="2" t="n">
        <x:v>700</x:v>
      </x:c>
      <x:c r="I146" s="3" t="n">
        <x:v>0.35</x:v>
      </x:c>
      <x:c r="J146" s="2" t="n">
        <x:v>300</x:v>
      </x:c>
      <x:c r="K146" s="2" t="n">
        <x:v>120</x:v>
      </x:c>
      <x:c r="L146" s="2" t="n">
        <x:f>G146*H146</x:f>
        <x:v>700</x:v>
      </x:c>
      <x:c r="M146" s="2" t="n">
        <x:f>ROUND(L146*(1-I146),2)</x:f>
        <x:v>455</x:v>
      </x:c>
      <x:c r="N146" s="2" t="n">
        <x:f>G146*J146</x:f>
        <x:v>300</x:v>
      </x:c>
      <x:c r="O146" s="2" t="n">
        <x:f>M146-N146-K146</x:f>
        <x:v>35</x:v>
      </x:c>
      <x:c r="P146" s="1" t="str">
        <x:f>TEXT(B146,"yyyy-mm")</x:f>
        <x:v>2025-11</x:v>
      </x:c>
    </x:row>
    <x:row r="147">
      <x:c r="A147" s="1" t="str">
        <x:v>ORD-0143</x:v>
      </x:c>
      <x:c r="B147" s="4" t="d">
        <x:v>2025-09-02T00:00:00.000Z</x:v>
      </x:c>
      <x:c r="C147" s="1" t="str">
        <x:v>C-297</x:v>
      </x:c>
      <x:c r="D147" s="1" t="str">
        <x:v>East</x:v>
      </x:c>
      <x:c r="E147" s="1" t="str">
        <x:v>Fashion</x:v>
      </x:c>
      <x:c r="F147" s="1" t="str">
        <x:v>Sneakers</x:v>
      </x:c>
      <x:c r="G147" s="1" t="n">
        <x:v>2</x:v>
      </x:c>
      <x:c r="H147" s="2" t="n">
        <x:v>2400</x:v>
      </x:c>
      <x:c r="I147" s="3" t="n">
        <x:v>0.15</x:v>
      </x:c>
      <x:c r="J147" s="2" t="n">
        <x:v>1200</x:v>
      </x:c>
      <x:c r="K147" s="2" t="n">
        <x:v>50</x:v>
      </x:c>
      <x:c r="L147" s="2" t="n">
        <x:f>G147*H147</x:f>
        <x:v>4800</x:v>
      </x:c>
      <x:c r="M147" s="2" t="n">
        <x:f>ROUND(L147*(1-I147),2)</x:f>
        <x:v>4080</x:v>
      </x:c>
      <x:c r="N147" s="2" t="n">
        <x:f>G147*J147</x:f>
        <x:v>2400</x:v>
      </x:c>
      <x:c r="O147" s="2" t="n">
        <x:f>M147-N147-K147</x:f>
        <x:v>1630</x:v>
      </x:c>
      <x:c r="P147" s="1" t="str">
        <x:f>TEXT(B147,"yyyy-mm")</x:f>
        <x:v>2025-09</x:v>
      </x:c>
    </x:row>
    <x:row r="148">
      <x:c r="A148" s="1" t="str">
        <x:v>ORD-0144</x:v>
      </x:c>
      <x:c r="B148" s="4" t="d">
        <x:v>2025-12-14T00:00:00.000Z</x:v>
      </x:c>
      <x:c r="C148" s="1" t="str">
        <x:v>C-090</x:v>
      </x:c>
      <x:c r="D148" s="1" t="str">
        <x:v>South</x:v>
      </x:c>
      <x:c r="E148" s="1" t="str">
        <x:v>Fashion</x:v>
      </x:c>
      <x:c r="F148" s="1" t="str">
        <x:v>Backpack</x:v>
      </x:c>
      <x:c r="G148" s="1" t="n">
        <x:v>2</x:v>
      </x:c>
      <x:c r="H148" s="2" t="n">
        <x:v>1300</x:v>
      </x:c>
      <x:c r="I148" s="3" t="n">
        <x:v>0.35</x:v>
      </x:c>
      <x:c r="J148" s="2" t="n">
        <x:v>650</x:v>
      </x:c>
      <x:c r="K148" s="2" t="n">
        <x:v>120</x:v>
      </x:c>
      <x:c r="L148" s="2" t="n">
        <x:f>G148*H148</x:f>
        <x:v>2600</x:v>
      </x:c>
      <x:c r="M148" s="2" t="n">
        <x:f>ROUND(L148*(1-I148),2)</x:f>
        <x:v>1690</x:v>
      </x:c>
      <x:c r="N148" s="2" t="n">
        <x:f>G148*J148</x:f>
        <x:v>1300</x:v>
      </x:c>
      <x:c r="O148" s="2" t="n">
        <x:f>M148-N148-K148</x:f>
        <x:v>270</x:v>
      </x:c>
      <x:c r="P148" s="1" t="str">
        <x:f>TEXT(B148,"yyyy-mm")</x:f>
        <x:v>2025-12</x:v>
      </x:c>
    </x:row>
    <x:row r="149">
      <x:c r="A149" s="1" t="str">
        <x:v>ORD-0145</x:v>
      </x:c>
      <x:c r="B149" s="4" t="d">
        <x:v>2025-11-17T00:00:00.000Z</x:v>
      </x:c>
      <x:c r="C149" s="1" t="str">
        <x:v>C-140</x:v>
      </x:c>
      <x:c r="D149" s="1" t="str">
        <x:v>South</x:v>
      </x:c>
      <x:c r="E149" s="1" t="str">
        <x:v>Fashion</x:v>
      </x:c>
      <x:c r="F149" s="1" t="str">
        <x:v>Backpack</x:v>
      </x:c>
      <x:c r="G149" s="1" t="n">
        <x:v>3</x:v>
      </x:c>
      <x:c r="H149" s="2" t="n">
        <x:v>1300</x:v>
      </x:c>
      <x:c r="I149" s="3" t="n">
        <x:v>0.25</x:v>
      </x:c>
      <x:c r="J149" s="2" t="n">
        <x:v>650</x:v>
      </x:c>
      <x:c r="K149" s="2" t="n">
        <x:v>80</x:v>
      </x:c>
      <x:c r="L149" s="2" t="n">
        <x:f>G149*H149</x:f>
        <x:v>3900</x:v>
      </x:c>
      <x:c r="M149" s="2" t="n">
        <x:f>ROUND(L149*(1-I149),2)</x:f>
        <x:v>2925</x:v>
      </x:c>
      <x:c r="N149" s="2" t="n">
        <x:f>G149*J149</x:f>
        <x:v>1950</x:v>
      </x:c>
      <x:c r="O149" s="2" t="n">
        <x:f>M149-N149-K149</x:f>
        <x:v>895</x:v>
      </x:c>
      <x:c r="P149" s="1" t="str">
        <x:f>TEXT(B149,"yyyy-mm")</x:f>
        <x:v>2025-11</x:v>
      </x:c>
    </x:row>
    <x:row r="150">
      <x:c r="A150" s="1" t="str">
        <x:v>ORD-0146</x:v>
      </x:c>
      <x:c r="B150" s="4" t="d">
        <x:v>2025-12-28T00:00:00.000Z</x:v>
      </x:c>
      <x:c r="C150" s="1" t="str">
        <x:v>C-174</x:v>
      </x:c>
      <x:c r="D150" s="1" t="str">
        <x:v>North</x:v>
      </x:c>
      <x:c r="E150" s="1" t="str">
        <x:v>Fashion</x:v>
      </x:c>
      <x:c r="F150" s="1" t="str">
        <x:v>Sneakers</x:v>
      </x:c>
      <x:c r="G150" s="1" t="n">
        <x:v>4</x:v>
      </x:c>
      <x:c r="H150" s="2" t="n">
        <x:v>2400</x:v>
      </x:c>
      <x:c r="I150" s="3" t="n">
        <x:v>0.35</x:v>
      </x:c>
      <x:c r="J150" s="2" t="n">
        <x:v>1200</x:v>
      </x:c>
      <x:c r="K150" s="2" t="n">
        <x:v>50</x:v>
      </x:c>
      <x:c r="L150" s="2" t="n">
        <x:f>G150*H150</x:f>
        <x:v>9600</x:v>
      </x:c>
      <x:c r="M150" s="2" t="n">
        <x:f>ROUND(L150*(1-I150),2)</x:f>
        <x:v>6240</x:v>
      </x:c>
      <x:c r="N150" s="2" t="n">
        <x:f>G150*J150</x:f>
        <x:v>4800</x:v>
      </x:c>
      <x:c r="O150" s="2" t="n">
        <x:f>M150-N150-K150</x:f>
        <x:v>1390</x:v>
      </x:c>
      <x:c r="P150" s="1" t="str">
        <x:f>TEXT(B150,"yyyy-mm")</x:f>
        <x:v>2025-12</x:v>
      </x:c>
    </x:row>
    <x:row r="151">
      <x:c r="A151" s="1" t="str">
        <x:v>ORD-0147</x:v>
      </x:c>
      <x:c r="B151" s="4" t="d">
        <x:v>2025-03-24T00:00:00.000Z</x:v>
      </x:c>
      <x:c r="C151" s="1" t="str">
        <x:v>C-204</x:v>
      </x:c>
      <x:c r="D151" s="1" t="str">
        <x:v>East</x:v>
      </x:c>
      <x:c r="E151" s="1" t="str">
        <x:v>Fashion</x:v>
      </x:c>
      <x:c r="F151" s="1" t="str">
        <x:v>T-shirt</x:v>
      </x:c>
      <x:c r="G151" s="1" t="n">
        <x:v>1</x:v>
      </x:c>
      <x:c r="H151" s="2" t="n">
        <x:v>700</x:v>
      </x:c>
      <x:c r="I151" s="3" t="n">
        <x:v>0.35</x:v>
      </x:c>
      <x:c r="J151" s="2" t="n">
        <x:v>300</x:v>
      </x:c>
      <x:c r="K151" s="2" t="n">
        <x:v>80</x:v>
      </x:c>
      <x:c r="L151" s="2" t="n">
        <x:f>G151*H151</x:f>
        <x:v>700</x:v>
      </x:c>
      <x:c r="M151" s="2" t="n">
        <x:f>ROUND(L151*(1-I151),2)</x:f>
        <x:v>455</x:v>
      </x:c>
      <x:c r="N151" s="2" t="n">
        <x:f>G151*J151</x:f>
        <x:v>300</x:v>
      </x:c>
      <x:c r="O151" s="2" t="n">
        <x:f>M151-N151-K151</x:f>
        <x:v>75</x:v>
      </x:c>
      <x:c r="P151" s="1" t="str">
        <x:f>TEXT(B151,"yyyy-mm")</x:f>
        <x:v>2025-03</x:v>
      </x:c>
    </x:row>
    <x:row r="152">
      <x:c r="A152" s="1" t="str">
        <x:v>ORD-0148</x:v>
      </x:c>
      <x:c r="B152" s="4" t="d">
        <x:v>2025-01-15T00:00:00.000Z</x:v>
      </x:c>
      <x:c r="C152" s="1" t="str">
        <x:v>C-189</x:v>
      </x:c>
      <x:c r="D152" s="1" t="str">
        <x:v>East</x:v>
      </x:c>
      <x:c r="E152" s="1" t="str">
        <x:v>Home</x:v>
      </x:c>
      <x:c r="F152" s="1" t="str">
        <x:v>Storage box</x:v>
      </x:c>
      <x:c r="G152" s="1" t="n">
        <x:v>4</x:v>
      </x:c>
      <x:c r="H152" s="2" t="n">
        <x:v>800</x:v>
      </x:c>
      <x:c r="I152" s="3" t="n">
        <x:v>0</x:v>
      </x:c>
      <x:c r="J152" s="2" t="n">
        <x:v>420</x:v>
      </x:c>
      <x:c r="K152" s="2" t="n">
        <x:v>120</x:v>
      </x:c>
      <x:c r="L152" s="2" t="n">
        <x:f>G152*H152</x:f>
        <x:v>3200</x:v>
      </x:c>
      <x:c r="M152" s="2" t="n">
        <x:f>ROUND(L152*(1-I152),2)</x:f>
        <x:v>3200</x:v>
      </x:c>
      <x:c r="N152" s="2" t="n">
        <x:f>G152*J152</x:f>
        <x:v>1680</x:v>
      </x:c>
      <x:c r="O152" s="2" t="n">
        <x:f>M152-N152-K152</x:f>
        <x:v>1400</x:v>
      </x:c>
      <x:c r="P152" s="1" t="str">
        <x:f>TEXT(B152,"yyyy-mm")</x:f>
        <x:v>2025-01</x:v>
      </x:c>
    </x:row>
    <x:row r="153">
      <x:c r="A153" s="1" t="str">
        <x:v>ORD-0149</x:v>
      </x:c>
      <x:c r="B153" s="4" t="d">
        <x:v>2025-12-08T00:00:00.000Z</x:v>
      </x:c>
      <x:c r="C153" s="1" t="str">
        <x:v>C-242</x:v>
      </x:c>
      <x:c r="D153" s="1" t="str">
        <x:v>North</x:v>
      </x:c>
      <x:c r="E153" s="1" t="str">
        <x:v>Electronics</x:v>
      </x:c>
      <x:c r="F153" s="1" t="str">
        <x:v>Keyboard</x:v>
      </x:c>
      <x:c r="G153" s="1" t="n">
        <x:v>3</x:v>
      </x:c>
      <x:c r="H153" s="2" t="n">
        <x:v>1500</x:v>
      </x:c>
      <x:c r="I153" s="3" t="n">
        <x:v>0.35</x:v>
      </x:c>
      <x:c r="J153" s="2" t="n">
        <x:v>900</x:v>
      </x:c>
      <x:c r="K153" s="2" t="n">
        <x:v>120</x:v>
      </x:c>
      <x:c r="L153" s="2" t="n">
        <x:f>G153*H153</x:f>
        <x:v>4500</x:v>
      </x:c>
      <x:c r="M153" s="2" t="n">
        <x:f>ROUND(L153*(1-I153),2)</x:f>
        <x:v>2925</x:v>
      </x:c>
      <x:c r="N153" s="2" t="n">
        <x:f>G153*J153</x:f>
        <x:v>2700</x:v>
      </x:c>
      <x:c r="O153" s="2" t="n">
        <x:f>M153-N153-K153</x:f>
        <x:v>105</x:v>
      </x:c>
      <x:c r="P153" s="1" t="str">
        <x:f>TEXT(B153,"yyyy-mm")</x:f>
        <x:v>2025-12</x:v>
      </x:c>
    </x:row>
    <x:row r="154">
      <x:c r="A154" s="1" t="str">
        <x:v>ORD-0150</x:v>
      </x:c>
      <x:c r="B154" s="4" t="d">
        <x:v>2025-04-27T00:00:00.000Z</x:v>
      </x:c>
      <x:c r="C154" s="1" t="str">
        <x:v>C-238</x:v>
      </x:c>
      <x:c r="D154" s="1" t="str">
        <x:v>East</x:v>
      </x:c>
      <x:c r="E154" s="1" t="str">
        <x:v>Electronics</x:v>
      </x:c>
      <x:c r="F154" s="1" t="str">
        <x:v>Keyboard</x:v>
      </x:c>
      <x:c r="G154" s="1" t="n">
        <x:v>4</x:v>
      </x:c>
      <x:c r="H154" s="2" t="n">
        <x:v>1500</x:v>
      </x:c>
      <x:c r="I154" s="3" t="n">
        <x:v>0.35</x:v>
      </x:c>
      <x:c r="J154" s="2" t="n">
        <x:v>900</x:v>
      </x:c>
      <x:c r="K154" s="2" t="n">
        <x:v>50</x:v>
      </x:c>
      <x:c r="L154" s="2" t="n">
        <x:f>G154*H154</x:f>
        <x:v>6000</x:v>
      </x:c>
      <x:c r="M154" s="2" t="n">
        <x:f>ROUND(L154*(1-I154),2)</x:f>
        <x:v>3900</x:v>
      </x:c>
      <x:c r="N154" s="2" t="n">
        <x:f>G154*J154</x:f>
        <x:v>3600</x:v>
      </x:c>
      <x:c r="O154" s="2" t="n">
        <x:f>M154-N154-K154</x:f>
        <x:v>250</x:v>
      </x:c>
      <x:c r="P154" s="1" t="str">
        <x:f>TEXT(B154,"yyyy-mm")</x:f>
        <x:v>2025-04</x:v>
      </x:c>
    </x:row>
    <x:row r="155">
      <x:c r="A155" s="1" t="str">
        <x:v>ORD-0151</x:v>
      </x:c>
      <x:c r="B155" s="4" t="d">
        <x:v>2025-03-16T00:00:00.000Z</x:v>
      </x:c>
      <x:c r="C155" s="1" t="str">
        <x:v>C-060</x:v>
      </x:c>
      <x:c r="D155" s="1" t="str">
        <x:v>North</x:v>
      </x:c>
      <x:c r="E155" s="1" t="str">
        <x:v>Electronics</x:v>
      </x:c>
      <x:c r="F155" s="1" t="str">
        <x:v>Headphones</x:v>
      </x:c>
      <x:c r="G155" s="1" t="n">
        <x:v>2</x:v>
      </x:c>
      <x:c r="H155" s="2" t="n">
        <x:v>2200</x:v>
      </x:c>
      <x:c r="I155" s="3" t="n">
        <x:v>0.1</x:v>
      </x:c>
      <x:c r="J155" s="2" t="n">
        <x:v>1450</x:v>
      </x:c>
      <x:c r="K155" s="2" t="n">
        <x:v>120</x:v>
      </x:c>
      <x:c r="L155" s="2" t="n">
        <x:f>G155*H155</x:f>
        <x:v>4400</x:v>
      </x:c>
      <x:c r="M155" s="2" t="n">
        <x:f>ROUND(L155*(1-I155),2)</x:f>
        <x:v>3960</x:v>
      </x:c>
      <x:c r="N155" s="2" t="n">
        <x:f>G155*J155</x:f>
        <x:v>2900</x:v>
      </x:c>
      <x:c r="O155" s="2" t="n">
        <x:f>M155-N155-K155</x:f>
        <x:v>940</x:v>
      </x:c>
      <x:c r="P155" s="1" t="str">
        <x:f>TEXT(B155,"yyyy-mm")</x:f>
        <x:v>2025-03</x:v>
      </x:c>
    </x:row>
    <x:row r="156">
      <x:c r="A156" s="1" t="str">
        <x:v>ORD-0152</x:v>
      </x:c>
      <x:c r="B156" s="4" t="d">
        <x:v>2025-03-22T00:00:00.000Z</x:v>
      </x:c>
      <x:c r="C156" s="1" t="str">
        <x:v>C-277</x:v>
      </x:c>
      <x:c r="D156" s="1" t="str">
        <x:v>West</x:v>
      </x:c>
      <x:c r="E156" s="1" t="str">
        <x:v>Home</x:v>
      </x:c>
      <x:c r="F156" s="1" t="str">
        <x:v>Desk lamp</x:v>
      </x:c>
      <x:c r="G156" s="1" t="n">
        <x:v>2</x:v>
      </x:c>
      <x:c r="H156" s="2" t="n">
        <x:v>1100</x:v>
      </x:c>
      <x:c r="I156" s="3" t="n">
        <x:v>0.1</x:v>
      </x:c>
      <x:c r="J156" s="2" t="n">
        <x:v>650</x:v>
      </x:c>
      <x:c r="K156" s="2" t="n">
        <x:v>80</x:v>
      </x:c>
      <x:c r="L156" s="2" t="n">
        <x:f>G156*H156</x:f>
        <x:v>2200</x:v>
      </x:c>
      <x:c r="M156" s="2" t="n">
        <x:f>ROUND(L156*(1-I156),2)</x:f>
        <x:v>1980</x:v>
      </x:c>
      <x:c r="N156" s="2" t="n">
        <x:f>G156*J156</x:f>
        <x:v>1300</x:v>
      </x:c>
      <x:c r="O156" s="2" t="n">
        <x:f>M156-N156-K156</x:f>
        <x:v>600</x:v>
      </x:c>
      <x:c r="P156" s="1" t="str">
        <x:f>TEXT(B156,"yyyy-mm")</x:f>
        <x:v>2025-03</x:v>
      </x:c>
    </x:row>
    <x:row r="157">
      <x:c r="A157" s="1" t="str">
        <x:v>ORD-0153</x:v>
      </x:c>
      <x:c r="B157" s="4" t="d">
        <x:v>2025-10-14T00:00:00.000Z</x:v>
      </x:c>
      <x:c r="C157" s="1" t="str">
        <x:v>C-144</x:v>
      </x:c>
      <x:c r="D157" s="1" t="str">
        <x:v>North</x:v>
      </x:c>
      <x:c r="E157" s="1" t="str">
        <x:v>Home</x:v>
      </x:c>
      <x:c r="F157" s="1" t="str">
        <x:v>Desk lamp</x:v>
      </x:c>
      <x:c r="G157" s="1" t="n">
        <x:v>3</x:v>
      </x:c>
      <x:c r="H157" s="2" t="n">
        <x:v>1100</x:v>
      </x:c>
      <x:c r="I157" s="3" t="n">
        <x:v>0.25</x:v>
      </x:c>
      <x:c r="J157" s="2" t="n">
        <x:v>650</x:v>
      </x:c>
      <x:c r="K157" s="2" t="n">
        <x:v>50</x:v>
      </x:c>
      <x:c r="L157" s="2" t="n">
        <x:f>G157*H157</x:f>
        <x:v>3300</x:v>
      </x:c>
      <x:c r="M157" s="2" t="n">
        <x:f>ROUND(L157*(1-I157),2)</x:f>
        <x:v>2475</x:v>
      </x:c>
      <x:c r="N157" s="2" t="n">
        <x:f>G157*J157</x:f>
        <x:v>1950</x:v>
      </x:c>
      <x:c r="O157" s="2" t="n">
        <x:f>M157-N157-K157</x:f>
        <x:v>475</x:v>
      </x:c>
      <x:c r="P157" s="1" t="str">
        <x:f>TEXT(B157,"yyyy-mm")</x:f>
        <x:v>2025-10</x:v>
      </x:c>
    </x:row>
    <x:row r="158">
      <x:c r="A158" s="1" t="str">
        <x:v>ORD-0154</x:v>
      </x:c>
      <x:c r="B158" s="4" t="d">
        <x:v>2025-07-04T00:00:00.000Z</x:v>
      </x:c>
      <x:c r="C158" s="1" t="str">
        <x:v>C-189</x:v>
      </x:c>
      <x:c r="D158" s="1" t="str">
        <x:v>East</x:v>
      </x:c>
      <x:c r="E158" s="1" t="str">
        <x:v>Fashion</x:v>
      </x:c>
      <x:c r="F158" s="1" t="str">
        <x:v>T-shirt</x:v>
      </x:c>
      <x:c r="G158" s="1" t="n">
        <x:v>1</x:v>
      </x:c>
      <x:c r="H158" s="2" t="n">
        <x:v>700</x:v>
      </x:c>
      <x:c r="I158" s="3" t="n">
        <x:v>0.1</x:v>
      </x:c>
      <x:c r="J158" s="2" t="n">
        <x:v>300</x:v>
      </x:c>
      <x:c r="K158" s="2" t="n">
        <x:v>80</x:v>
      </x:c>
      <x:c r="L158" s="2" t="n">
        <x:f>G158*H158</x:f>
        <x:v>700</x:v>
      </x:c>
      <x:c r="M158" s="2" t="n">
        <x:f>ROUND(L158*(1-I158),2)</x:f>
        <x:v>630</x:v>
      </x:c>
      <x:c r="N158" s="2" t="n">
        <x:f>G158*J158</x:f>
        <x:v>300</x:v>
      </x:c>
      <x:c r="O158" s="2" t="n">
        <x:f>M158-N158-K158</x:f>
        <x:v>250</x:v>
      </x:c>
      <x:c r="P158" s="1" t="str">
        <x:f>TEXT(B158,"yyyy-mm")</x:f>
        <x:v>2025-07</x:v>
      </x:c>
    </x:row>
    <x:row r="159">
      <x:c r="A159" s="1" t="str">
        <x:v>ORD-0155</x:v>
      </x:c>
      <x:c r="B159" s="4" t="d">
        <x:v>2025-05-03T00:00:00.000Z</x:v>
      </x:c>
      <x:c r="C159" s="1" t="str">
        <x:v>C-109</x:v>
      </x:c>
      <x:c r="D159" s="1" t="str">
        <x:v>North</x:v>
      </x:c>
      <x:c r="E159" s="1" t="str">
        <x:v>Electronics</x:v>
      </x:c>
      <x:c r="F159" s="1" t="str">
        <x:v>Keyboard</x:v>
      </x:c>
      <x:c r="G159" s="1" t="n">
        <x:v>1</x:v>
      </x:c>
      <x:c r="H159" s="2" t="n">
        <x:v>1500</x:v>
      </x:c>
      <x:c r="I159" s="3" t="n">
        <x:v>0.15</x:v>
      </x:c>
      <x:c r="J159" s="2" t="n">
        <x:v>900</x:v>
      </x:c>
      <x:c r="K159" s="2" t="n">
        <x:v>80</x:v>
      </x:c>
      <x:c r="L159" s="2" t="n">
        <x:f>G159*H159</x:f>
        <x:v>1500</x:v>
      </x:c>
      <x:c r="M159" s="2" t="n">
        <x:f>ROUND(L159*(1-I159),2)</x:f>
        <x:v>1275</x:v>
      </x:c>
      <x:c r="N159" s="2" t="n">
        <x:f>G159*J159</x:f>
        <x:v>900</x:v>
      </x:c>
      <x:c r="O159" s="2" t="n">
        <x:f>M159-N159-K159</x:f>
        <x:v>295</x:v>
      </x:c>
      <x:c r="P159" s="1" t="str">
        <x:f>TEXT(B159,"yyyy-mm")</x:f>
        <x:v>2025-05</x:v>
      </x:c>
    </x:row>
    <x:row r="160">
      <x:c r="A160" s="1" t="str">
        <x:v>ORD-0156</x:v>
      </x:c>
      <x:c r="B160" s="4" t="d">
        <x:v>2025-04-07T00:00:00.000Z</x:v>
      </x:c>
      <x:c r="C160" s="1" t="str">
        <x:v>C-036</x:v>
      </x:c>
      <x:c r="D160" s="1" t="str">
        <x:v>South</x:v>
      </x:c>
      <x:c r="E160" s="1" t="str">
        <x:v>Electronics</x:v>
      </x:c>
      <x:c r="F160" s="1" t="str">
        <x:v>Smartwatch</x:v>
      </x:c>
      <x:c r="G160" s="1" t="n">
        <x:v>2</x:v>
      </x:c>
      <x:c r="H160" s="2" t="n">
        <x:v>4200</x:v>
      </x:c>
      <x:c r="I160" s="3" t="n">
        <x:v>0.25</x:v>
      </x:c>
      <x:c r="J160" s="2" t="n">
        <x:v>3000</x:v>
      </x:c>
      <x:c r="K160" s="2" t="n">
        <x:v>50</x:v>
      </x:c>
      <x:c r="L160" s="2" t="n">
        <x:f>G160*H160</x:f>
        <x:v>8400</x:v>
      </x:c>
      <x:c r="M160" s="2" t="n">
        <x:f>ROUND(L160*(1-I160),2)</x:f>
        <x:v>6300</x:v>
      </x:c>
      <x:c r="N160" s="2" t="n">
        <x:f>G160*J160</x:f>
        <x:v>6000</x:v>
      </x:c>
      <x:c r="O160" s="2" t="n">
        <x:f>M160-N160-K160</x:f>
        <x:v>250</x:v>
      </x:c>
      <x:c r="P160" s="1" t="str">
        <x:f>TEXT(B160,"yyyy-mm")</x:f>
        <x:v>2025-04</x:v>
      </x:c>
    </x:row>
    <x:row r="161">
      <x:c r="A161" s="1" t="str">
        <x:v>ORD-0157</x:v>
      </x:c>
      <x:c r="B161" s="4" t="d">
        <x:v>2025-05-01T00:00:00.000Z</x:v>
      </x:c>
      <x:c r="C161" s="1" t="str">
        <x:v>C-142</x:v>
      </x:c>
      <x:c r="D161" s="1" t="str">
        <x:v>South</x:v>
      </x:c>
      <x:c r="E161" s="1" t="str">
        <x:v>Electronics</x:v>
      </x:c>
      <x:c r="F161" s="1" t="str">
        <x:v>Smartwatch</x:v>
      </x:c>
      <x:c r="G161" s="1" t="n">
        <x:v>2</x:v>
      </x:c>
      <x:c r="H161" s="2" t="n">
        <x:v>4200</x:v>
      </x:c>
      <x:c r="I161" s="3" t="n">
        <x:v>0.25</x:v>
      </x:c>
      <x:c r="J161" s="2" t="n">
        <x:v>3000</x:v>
      </x:c>
      <x:c r="K161" s="2" t="n">
        <x:v>120</x:v>
      </x:c>
      <x:c r="L161" s="2" t="n">
        <x:f>G161*H161</x:f>
        <x:v>8400</x:v>
      </x:c>
      <x:c r="M161" s="2" t="n">
        <x:f>ROUND(L161*(1-I161),2)</x:f>
        <x:v>6300</x:v>
      </x:c>
      <x:c r="N161" s="2" t="n">
        <x:f>G161*J161</x:f>
        <x:v>6000</x:v>
      </x:c>
      <x:c r="O161" s="2" t="n">
        <x:f>M161-N161-K161</x:f>
        <x:v>180</x:v>
      </x:c>
      <x:c r="P161" s="1" t="str">
        <x:f>TEXT(B161,"yyyy-mm")</x:f>
        <x:v>2025-05</x:v>
      </x:c>
    </x:row>
    <x:row r="162">
      <x:c r="A162" s="1" t="str">
        <x:v>ORD-0158</x:v>
      </x:c>
      <x:c r="B162" s="4" t="d">
        <x:v>2025-04-22T00:00:00.000Z</x:v>
      </x:c>
      <x:c r="C162" s="1" t="str">
        <x:v>C-014</x:v>
      </x:c>
      <x:c r="D162" s="1" t="str">
        <x:v>South</x:v>
      </x:c>
      <x:c r="E162" s="1" t="str">
        <x:v>Electronics</x:v>
      </x:c>
      <x:c r="F162" s="1" t="str">
        <x:v>Smartwatch</x:v>
      </x:c>
      <x:c r="G162" s="1" t="n">
        <x:v>1</x:v>
      </x:c>
      <x:c r="H162" s="2" t="n">
        <x:v>4200</x:v>
      </x:c>
      <x:c r="I162" s="3" t="n">
        <x:v>0</x:v>
      </x:c>
      <x:c r="J162" s="2" t="n">
        <x:v>3000</x:v>
      </x:c>
      <x:c r="K162" s="2" t="n">
        <x:v>80</x:v>
      </x:c>
      <x:c r="L162" s="2" t="n">
        <x:f>G162*H162</x:f>
        <x:v>4200</x:v>
      </x:c>
      <x:c r="M162" s="2" t="n">
        <x:f>ROUND(L162*(1-I162),2)</x:f>
        <x:v>4200</x:v>
      </x:c>
      <x:c r="N162" s="2" t="n">
        <x:f>G162*J162</x:f>
        <x:v>3000</x:v>
      </x:c>
      <x:c r="O162" s="2" t="n">
        <x:f>M162-N162-K162</x:f>
        <x:v>1120</x:v>
      </x:c>
      <x:c r="P162" s="1" t="str">
        <x:f>TEXT(B162,"yyyy-mm")</x:f>
        <x:v>2025-04</x:v>
      </x:c>
    </x:row>
    <x:row r="163">
      <x:c r="A163" s="1" t="str">
        <x:v>ORD-0159</x:v>
      </x:c>
      <x:c r="B163" s="4" t="d">
        <x:v>2025-11-11T00:00:00.000Z</x:v>
      </x:c>
      <x:c r="C163" s="1" t="str">
        <x:v>C-009</x:v>
      </x:c>
      <x:c r="D163" s="1" t="str">
        <x:v>South</x:v>
      </x:c>
      <x:c r="E163" s="1" t="str">
        <x:v>Fashion</x:v>
      </x:c>
      <x:c r="F163" s="1" t="str">
        <x:v>T-shirt</x:v>
      </x:c>
      <x:c r="G163" s="1" t="n">
        <x:v>3</x:v>
      </x:c>
      <x:c r="H163" s="2" t="n">
        <x:v>700</x:v>
      </x:c>
      <x:c r="I163" s="3" t="n">
        <x:v>0.25</x:v>
      </x:c>
      <x:c r="J163" s="2" t="n">
        <x:v>300</x:v>
      </x:c>
      <x:c r="K163" s="2" t="n">
        <x:v>50</x:v>
      </x:c>
      <x:c r="L163" s="2" t="n">
        <x:f>G163*H163</x:f>
        <x:v>2100</x:v>
      </x:c>
      <x:c r="M163" s="2" t="n">
        <x:f>ROUND(L163*(1-I163),2)</x:f>
        <x:v>1575</x:v>
      </x:c>
      <x:c r="N163" s="2" t="n">
        <x:f>G163*J163</x:f>
        <x:v>900</x:v>
      </x:c>
      <x:c r="O163" s="2" t="n">
        <x:f>M163-N163-K163</x:f>
        <x:v>625</x:v>
      </x:c>
      <x:c r="P163" s="1" t="str">
        <x:f>TEXT(B163,"yyyy-mm")</x:f>
        <x:v>2025-11</x:v>
      </x:c>
    </x:row>
    <x:row r="164">
      <x:c r="A164" s="1" t="str">
        <x:v>ORD-0160</x:v>
      </x:c>
      <x:c r="B164" s="4" t="d">
        <x:v>2025-03-04T00:00:00.000Z</x:v>
      </x:c>
      <x:c r="C164" s="1" t="str">
        <x:v>C-033</x:v>
      </x:c>
      <x:c r="D164" s="1" t="str">
        <x:v>West</x:v>
      </x:c>
      <x:c r="E164" s="1" t="str">
        <x:v>Home</x:v>
      </x:c>
      <x:c r="F164" s="1" t="str">
        <x:v>Office chair</x:v>
      </x:c>
      <x:c r="G164" s="1" t="n">
        <x:v>4</x:v>
      </x:c>
      <x:c r="H164" s="2" t="n">
        <x:v>5500</x:v>
      </x:c>
      <x:c r="I164" s="3" t="n">
        <x:v>0.25</x:v>
      </x:c>
      <x:c r="J164" s="2" t="n">
        <x:v>4400</x:v>
      </x:c>
      <x:c r="K164" s="2" t="n">
        <x:v>80</x:v>
      </x:c>
      <x:c r="L164" s="2" t="n">
        <x:f>G164*H164</x:f>
        <x:v>22000</x:v>
      </x:c>
      <x:c r="M164" s="2" t="n">
        <x:f>ROUND(L164*(1-I164),2)</x:f>
        <x:v>16500</x:v>
      </x:c>
      <x:c r="N164" s="2" t="n">
        <x:f>G164*J164</x:f>
        <x:v>17600</x:v>
      </x:c>
      <x:c r="O164" s="2" t="n">
        <x:f>M164-N164-K164</x:f>
        <x:v>-1180</x:v>
      </x:c>
      <x:c r="P164" s="1" t="str">
        <x:f>TEXT(B164,"yyyy-mm")</x:f>
        <x:v>2025-03</x:v>
      </x:c>
    </x:row>
    <x:row r="165">
      <x:c r="A165" s="1" t="str">
        <x:v>ORD-0161</x:v>
      </x:c>
      <x:c r="B165" s="4" t="d">
        <x:v>2025-08-17T00:00:00.000Z</x:v>
      </x:c>
      <x:c r="C165" s="1" t="str">
        <x:v>C-114</x:v>
      </x:c>
      <x:c r="D165" s="1" t="str">
        <x:v>North</x:v>
      </x:c>
      <x:c r="E165" s="1" t="str">
        <x:v>Electronics</x:v>
      </x:c>
      <x:c r="F165" s="1" t="str">
        <x:v>Keyboard</x:v>
      </x:c>
      <x:c r="G165" s="1" t="n">
        <x:v>3</x:v>
      </x:c>
      <x:c r="H165" s="2" t="n">
        <x:v>1500</x:v>
      </x:c>
      <x:c r="I165" s="3" t="n">
        <x:v>0.15</x:v>
      </x:c>
      <x:c r="J165" s="2" t="n">
        <x:v>900</x:v>
      </x:c>
      <x:c r="K165" s="2" t="n">
        <x:v>80</x:v>
      </x:c>
      <x:c r="L165" s="2" t="n">
        <x:f>G165*H165</x:f>
        <x:v>4500</x:v>
      </x:c>
      <x:c r="M165" s="2" t="n">
        <x:f>ROUND(L165*(1-I165),2)</x:f>
        <x:v>3825</x:v>
      </x:c>
      <x:c r="N165" s="2" t="n">
        <x:f>G165*J165</x:f>
        <x:v>2700</x:v>
      </x:c>
      <x:c r="O165" s="2" t="n">
        <x:f>M165-N165-K165</x:f>
        <x:v>1045</x:v>
      </x:c>
      <x:c r="P165" s="1" t="str">
        <x:f>TEXT(B165,"yyyy-mm")</x:f>
        <x:v>2025-08</x:v>
      </x:c>
    </x:row>
    <x:row r="166">
      <x:c r="A166" s="1" t="str">
        <x:v>ORD-0162</x:v>
      </x:c>
      <x:c r="B166" s="4" t="d">
        <x:v>2025-09-16T00:00:00.000Z</x:v>
      </x:c>
      <x:c r="C166" s="1" t="str">
        <x:v>C-206</x:v>
      </x:c>
      <x:c r="D166" s="1" t="str">
        <x:v>West</x:v>
      </x:c>
      <x:c r="E166" s="1" t="str">
        <x:v>Electronics</x:v>
      </x:c>
      <x:c r="F166" s="1" t="str">
        <x:v>Headphones</x:v>
      </x:c>
      <x:c r="G166" s="1" t="n">
        <x:v>1</x:v>
      </x:c>
      <x:c r="H166" s="2" t="n">
        <x:v>2200</x:v>
      </x:c>
      <x:c r="I166" s="3" t="n">
        <x:v>0</x:v>
      </x:c>
      <x:c r="J166" s="2" t="n">
        <x:v>1450</x:v>
      </x:c>
      <x:c r="K166" s="2" t="n">
        <x:v>80</x:v>
      </x:c>
      <x:c r="L166" s="2" t="n">
        <x:f>G166*H166</x:f>
        <x:v>2200</x:v>
      </x:c>
      <x:c r="M166" s="2" t="n">
        <x:f>ROUND(L166*(1-I166),2)</x:f>
        <x:v>2200</x:v>
      </x:c>
      <x:c r="N166" s="2" t="n">
        <x:f>G166*J166</x:f>
        <x:v>1450</x:v>
      </x:c>
      <x:c r="O166" s="2" t="n">
        <x:f>M166-N166-K166</x:f>
        <x:v>670</x:v>
      </x:c>
      <x:c r="P166" s="1" t="str">
        <x:f>TEXT(B166,"yyyy-mm")</x:f>
        <x:v>2025-09</x:v>
      </x:c>
    </x:row>
    <x:row r="167">
      <x:c r="A167" s="1" t="str">
        <x:v>ORD-0163</x:v>
      </x:c>
      <x:c r="B167" s="4" t="d">
        <x:v>2025-10-29T00:00:00.000Z</x:v>
      </x:c>
      <x:c r="C167" s="1" t="str">
        <x:v>C-042</x:v>
      </x:c>
      <x:c r="D167" s="1" t="str">
        <x:v>East</x:v>
      </x:c>
      <x:c r="E167" s="1" t="str">
        <x:v>Home</x:v>
      </x:c>
      <x:c r="F167" s="1" t="str">
        <x:v>Desk lamp</x:v>
      </x:c>
      <x:c r="G167" s="1" t="n">
        <x:v>2</x:v>
      </x:c>
      <x:c r="H167" s="2" t="n">
        <x:v>1100</x:v>
      </x:c>
      <x:c r="I167" s="3" t="n">
        <x:v>0</x:v>
      </x:c>
      <x:c r="J167" s="2" t="n">
        <x:v>650</x:v>
      </x:c>
      <x:c r="K167" s="2" t="n">
        <x:v>50</x:v>
      </x:c>
      <x:c r="L167" s="2" t="n">
        <x:f>G167*H167</x:f>
        <x:v>2200</x:v>
      </x:c>
      <x:c r="M167" s="2" t="n">
        <x:f>ROUND(L167*(1-I167),2)</x:f>
        <x:v>2200</x:v>
      </x:c>
      <x:c r="N167" s="2" t="n">
        <x:f>G167*J167</x:f>
        <x:v>1300</x:v>
      </x:c>
      <x:c r="O167" s="2" t="n">
        <x:f>M167-N167-K167</x:f>
        <x:v>850</x:v>
      </x:c>
      <x:c r="P167" s="1" t="str">
        <x:f>TEXT(B167,"yyyy-mm")</x:f>
        <x:v>2025-10</x:v>
      </x:c>
    </x:row>
    <x:row r="168">
      <x:c r="A168" s="1" t="str">
        <x:v>ORD-0164</x:v>
      </x:c>
      <x:c r="B168" s="4" t="d">
        <x:v>2025-03-11T00:00:00.000Z</x:v>
      </x:c>
      <x:c r="C168" s="1" t="str">
        <x:v>C-196</x:v>
      </x:c>
      <x:c r="D168" s="1" t="str">
        <x:v>East</x:v>
      </x:c>
      <x:c r="E168" s="1" t="str">
        <x:v>Home</x:v>
      </x:c>
      <x:c r="F168" s="1" t="str">
        <x:v>Storage box</x:v>
      </x:c>
      <x:c r="G168" s="1" t="n">
        <x:v>4</x:v>
      </x:c>
      <x:c r="H168" s="2" t="n">
        <x:v>800</x:v>
      </x:c>
      <x:c r="I168" s="3" t="n">
        <x:v>0.35</x:v>
      </x:c>
      <x:c r="J168" s="2" t="n">
        <x:v>420</x:v>
      </x:c>
      <x:c r="K168" s="2" t="n">
        <x:v>120</x:v>
      </x:c>
      <x:c r="L168" s="2" t="n">
        <x:f>G168*H168</x:f>
        <x:v>3200</x:v>
      </x:c>
      <x:c r="M168" s="2" t="n">
        <x:f>ROUND(L168*(1-I168),2)</x:f>
        <x:v>2080</x:v>
      </x:c>
      <x:c r="N168" s="2" t="n">
        <x:f>G168*J168</x:f>
        <x:v>1680</x:v>
      </x:c>
      <x:c r="O168" s="2" t="n">
        <x:f>M168-N168-K168</x:f>
        <x:v>280</x:v>
      </x:c>
      <x:c r="P168" s="1" t="str">
        <x:f>TEXT(B168,"yyyy-mm")</x:f>
        <x:v>2025-03</x:v>
      </x:c>
    </x:row>
    <x:row r="169">
      <x:c r="A169" s="1" t="str">
        <x:v>ORD-0165</x:v>
      </x:c>
      <x:c r="B169" s="4" t="d">
        <x:v>2025-09-04T00:00:00.000Z</x:v>
      </x:c>
      <x:c r="C169" s="1" t="str">
        <x:v>C-283</x:v>
      </x:c>
      <x:c r="D169" s="1" t="str">
        <x:v>South</x:v>
      </x:c>
      <x:c r="E169" s="1" t="str">
        <x:v>Electronics</x:v>
      </x:c>
      <x:c r="F169" s="1" t="str">
        <x:v>Keyboard</x:v>
      </x:c>
      <x:c r="G169" s="1" t="n">
        <x:v>4</x:v>
      </x:c>
      <x:c r="H169" s="2" t="n">
        <x:v>1500</x:v>
      </x:c>
      <x:c r="I169" s="3" t="n">
        <x:v>0.35</x:v>
      </x:c>
      <x:c r="J169" s="2" t="n">
        <x:v>900</x:v>
      </x:c>
      <x:c r="K169" s="2" t="n">
        <x:v>80</x:v>
      </x:c>
      <x:c r="L169" s="2" t="n">
        <x:f>G169*H169</x:f>
        <x:v>6000</x:v>
      </x:c>
      <x:c r="M169" s="2" t="n">
        <x:f>ROUND(L169*(1-I169),2)</x:f>
        <x:v>3900</x:v>
      </x:c>
      <x:c r="N169" s="2" t="n">
        <x:f>G169*J169</x:f>
        <x:v>3600</x:v>
      </x:c>
      <x:c r="O169" s="2" t="n">
        <x:f>M169-N169-K169</x:f>
        <x:v>220</x:v>
      </x:c>
      <x:c r="P169" s="1" t="str">
        <x:f>TEXT(B169,"yyyy-mm")</x:f>
        <x:v>2025-09</x:v>
      </x:c>
    </x:row>
    <x:row r="170">
      <x:c r="A170" s="1" t="str">
        <x:v>ORD-0166</x:v>
      </x:c>
      <x:c r="B170" s="4" t="d">
        <x:v>2025-11-27T00:00:00.000Z</x:v>
      </x:c>
      <x:c r="C170" s="1" t="str">
        <x:v>C-233</x:v>
      </x:c>
      <x:c r="D170" s="1" t="str">
        <x:v>West</x:v>
      </x:c>
      <x:c r="E170" s="1" t="str">
        <x:v>Home</x:v>
      </x:c>
      <x:c r="F170" s="1" t="str">
        <x:v>Office chair</x:v>
      </x:c>
      <x:c r="G170" s="1" t="n">
        <x:v>4</x:v>
      </x:c>
      <x:c r="H170" s="2" t="n">
        <x:v>5500</x:v>
      </x:c>
      <x:c r="I170" s="3" t="n">
        <x:v>0.1</x:v>
      </x:c>
      <x:c r="J170" s="2" t="n">
        <x:v>4400</x:v>
      </x:c>
      <x:c r="K170" s="2" t="n">
        <x:v>120</x:v>
      </x:c>
      <x:c r="L170" s="2" t="n">
        <x:f>G170*H170</x:f>
        <x:v>22000</x:v>
      </x:c>
      <x:c r="M170" s="2" t="n">
        <x:f>ROUND(L170*(1-I170),2)</x:f>
        <x:v>19800</x:v>
      </x:c>
      <x:c r="N170" s="2" t="n">
        <x:f>G170*J170</x:f>
        <x:v>17600</x:v>
      </x:c>
      <x:c r="O170" s="2" t="n">
        <x:f>M170-N170-K170</x:f>
        <x:v>2080</x:v>
      </x:c>
      <x:c r="P170" s="1" t="str">
        <x:f>TEXT(B170,"yyyy-mm")</x:f>
        <x:v>2025-11</x:v>
      </x:c>
    </x:row>
    <x:row r="171">
      <x:c r="A171" s="1" t="str">
        <x:v>ORD-0167</x:v>
      </x:c>
      <x:c r="B171" s="4" t="d">
        <x:v>2025-02-22T00:00:00.000Z</x:v>
      </x:c>
      <x:c r="C171" s="1" t="str">
        <x:v>C-131</x:v>
      </x:c>
      <x:c r="D171" s="1" t="str">
        <x:v>East</x:v>
      </x:c>
      <x:c r="E171" s="1" t="str">
        <x:v>Home</x:v>
      </x:c>
      <x:c r="F171" s="1" t="str">
        <x:v>Office chair</x:v>
      </x:c>
      <x:c r="G171" s="1" t="n">
        <x:v>2</x:v>
      </x:c>
      <x:c r="H171" s="2" t="n">
        <x:v>5500</x:v>
      </x:c>
      <x:c r="I171" s="3" t="n">
        <x:v>0.1</x:v>
      </x:c>
      <x:c r="J171" s="2" t="n">
        <x:v>4400</x:v>
      </x:c>
      <x:c r="K171" s="2" t="n">
        <x:v>120</x:v>
      </x:c>
      <x:c r="L171" s="2" t="n">
        <x:f>G171*H171</x:f>
        <x:v>11000</x:v>
      </x:c>
      <x:c r="M171" s="2" t="n">
        <x:f>ROUND(L171*(1-I171),2)</x:f>
        <x:v>9900</x:v>
      </x:c>
      <x:c r="N171" s="2" t="n">
        <x:f>G171*J171</x:f>
        <x:v>8800</x:v>
      </x:c>
      <x:c r="O171" s="2" t="n">
        <x:f>M171-N171-K171</x:f>
        <x:v>980</x:v>
      </x:c>
      <x:c r="P171" s="1" t="str">
        <x:f>TEXT(B171,"yyyy-mm")</x:f>
        <x:v>2025-02</x:v>
      </x:c>
    </x:row>
    <x:row r="172">
      <x:c r="A172" s="1" t="str">
        <x:v>ORD-0168</x:v>
      </x:c>
      <x:c r="B172" s="4" t="d">
        <x:v>2025-12-27T00:00:00.000Z</x:v>
      </x:c>
      <x:c r="C172" s="1" t="str">
        <x:v>C-044</x:v>
      </x:c>
      <x:c r="D172" s="1" t="str">
        <x:v>North</x:v>
      </x:c>
      <x:c r="E172" s="1" t="str">
        <x:v>Electronics</x:v>
      </x:c>
      <x:c r="F172" s="1" t="str">
        <x:v>Keyboard</x:v>
      </x:c>
      <x:c r="G172" s="1" t="n">
        <x:v>4</x:v>
      </x:c>
      <x:c r="H172" s="2" t="n">
        <x:v>1500</x:v>
      </x:c>
      <x:c r="I172" s="3" t="n">
        <x:v>0</x:v>
      </x:c>
      <x:c r="J172" s="2" t="n">
        <x:v>900</x:v>
      </x:c>
      <x:c r="K172" s="2" t="n">
        <x:v>50</x:v>
      </x:c>
      <x:c r="L172" s="2" t="n">
        <x:f>G172*H172</x:f>
        <x:v>6000</x:v>
      </x:c>
      <x:c r="M172" s="2" t="n">
        <x:f>ROUND(L172*(1-I172),2)</x:f>
        <x:v>6000</x:v>
      </x:c>
      <x:c r="N172" s="2" t="n">
        <x:f>G172*J172</x:f>
        <x:v>3600</x:v>
      </x:c>
      <x:c r="O172" s="2" t="n">
        <x:f>M172-N172-K172</x:f>
        <x:v>2350</x:v>
      </x:c>
      <x:c r="P172" s="1" t="str">
        <x:f>TEXT(B172,"yyyy-mm")</x:f>
        <x:v>2025-12</x:v>
      </x:c>
    </x:row>
    <x:row r="173">
      <x:c r="A173" s="1" t="str">
        <x:v>ORD-0169</x:v>
      </x:c>
      <x:c r="B173" s="4" t="d">
        <x:v>2025-10-18T00:00:00.000Z</x:v>
      </x:c>
      <x:c r="C173" s="1" t="str">
        <x:v>C-031</x:v>
      </x:c>
      <x:c r="D173" s="1" t="str">
        <x:v>East</x:v>
      </x:c>
      <x:c r="E173" s="1" t="str">
        <x:v>Fashion</x:v>
      </x:c>
      <x:c r="F173" s="1" t="str">
        <x:v>Backpack</x:v>
      </x:c>
      <x:c r="G173" s="1" t="n">
        <x:v>1</x:v>
      </x:c>
      <x:c r="H173" s="2" t="n">
        <x:v>1300</x:v>
      </x:c>
      <x:c r="I173" s="3" t="n">
        <x:v>0.05</x:v>
      </x:c>
      <x:c r="J173" s="2" t="n">
        <x:v>650</x:v>
      </x:c>
      <x:c r="K173" s="2" t="n">
        <x:v>80</x:v>
      </x:c>
      <x:c r="L173" s="2" t="n">
        <x:f>G173*H173</x:f>
        <x:v>1300</x:v>
      </x:c>
      <x:c r="M173" s="2" t="n">
        <x:f>ROUND(L173*(1-I173),2)</x:f>
        <x:v>1235</x:v>
      </x:c>
      <x:c r="N173" s="2" t="n">
        <x:f>G173*J173</x:f>
        <x:v>650</x:v>
      </x:c>
      <x:c r="O173" s="2" t="n">
        <x:f>M173-N173-K173</x:f>
        <x:v>505</x:v>
      </x:c>
      <x:c r="P173" s="1" t="str">
        <x:f>TEXT(B173,"yyyy-mm")</x:f>
        <x:v>2025-10</x:v>
      </x:c>
    </x:row>
    <x:row r="174">
      <x:c r="A174" s="1" t="str">
        <x:v>ORD-0170</x:v>
      </x:c>
      <x:c r="B174" s="4" t="d">
        <x:v>2025-06-02T00:00:00.000Z</x:v>
      </x:c>
      <x:c r="C174" s="1" t="str">
        <x:v>C-148</x:v>
      </x:c>
      <x:c r="D174" s="1" t="str">
        <x:v>East</x:v>
      </x:c>
      <x:c r="E174" s="1" t="str">
        <x:v>Home</x:v>
      </x:c>
      <x:c r="F174" s="1" t="str">
        <x:v>Office chair</x:v>
      </x:c>
      <x:c r="G174" s="1" t="n">
        <x:v>3</x:v>
      </x:c>
      <x:c r="H174" s="2" t="n">
        <x:v>5500</x:v>
      </x:c>
      <x:c r="I174" s="3" t="n">
        <x:v>0.35</x:v>
      </x:c>
      <x:c r="J174" s="2" t="n">
        <x:v>4400</x:v>
      </x:c>
      <x:c r="K174" s="2" t="n">
        <x:v>50</x:v>
      </x:c>
      <x:c r="L174" s="2" t="n">
        <x:f>G174*H174</x:f>
        <x:v>16500</x:v>
      </x:c>
      <x:c r="M174" s="2" t="n">
        <x:f>ROUND(L174*(1-I174),2)</x:f>
        <x:v>10725</x:v>
      </x:c>
      <x:c r="N174" s="2" t="n">
        <x:f>G174*J174</x:f>
        <x:v>13200</x:v>
      </x:c>
      <x:c r="O174" s="2" t="n">
        <x:f>M174-N174-K174</x:f>
        <x:v>-2525</x:v>
      </x:c>
      <x:c r="P174" s="1" t="str">
        <x:f>TEXT(B174,"yyyy-mm")</x:f>
        <x:v>2025-06</x:v>
      </x:c>
    </x:row>
    <x:row r="175">
      <x:c r="A175" s="1" t="str">
        <x:v>ORD-0171</x:v>
      </x:c>
      <x:c r="B175" s="4" t="d">
        <x:v>2025-09-22T00:00:00.000Z</x:v>
      </x:c>
      <x:c r="C175" s="1" t="str">
        <x:v>C-247</x:v>
      </x:c>
      <x:c r="D175" s="1" t="str">
        <x:v>South</x:v>
      </x:c>
      <x:c r="E175" s="1" t="str">
        <x:v>Fashion</x:v>
      </x:c>
      <x:c r="F175" s="1" t="str">
        <x:v>T-shirt</x:v>
      </x:c>
      <x:c r="G175" s="1" t="n">
        <x:v>1</x:v>
      </x:c>
      <x:c r="H175" s="2" t="n">
        <x:v>700</x:v>
      </x:c>
      <x:c r="I175" s="3" t="n">
        <x:v>0.05</x:v>
      </x:c>
      <x:c r="J175" s="2" t="n">
        <x:v>300</x:v>
      </x:c>
      <x:c r="K175" s="2" t="n">
        <x:v>80</x:v>
      </x:c>
      <x:c r="L175" s="2" t="n">
        <x:f>G175*H175</x:f>
        <x:v>700</x:v>
      </x:c>
      <x:c r="M175" s="2" t="n">
        <x:f>ROUND(L175*(1-I175),2)</x:f>
        <x:v>665</x:v>
      </x:c>
      <x:c r="N175" s="2" t="n">
        <x:f>G175*J175</x:f>
        <x:v>300</x:v>
      </x:c>
      <x:c r="O175" s="2" t="n">
        <x:f>M175-N175-K175</x:f>
        <x:v>285</x:v>
      </x:c>
      <x:c r="P175" s="1" t="str">
        <x:f>TEXT(B175,"yyyy-mm")</x:f>
        <x:v>2025-09</x:v>
      </x:c>
    </x:row>
    <x:row r="176">
      <x:c r="A176" s="1" t="str">
        <x:v>ORD-0172</x:v>
      </x:c>
      <x:c r="B176" s="4" t="d">
        <x:v>2025-11-25T00:00:00.000Z</x:v>
      </x:c>
      <x:c r="C176" s="1" t="str">
        <x:v>C-143</x:v>
      </x:c>
      <x:c r="D176" s="1" t="str">
        <x:v>South</x:v>
      </x:c>
      <x:c r="E176" s="1" t="str">
        <x:v>Fashion</x:v>
      </x:c>
      <x:c r="F176" s="1" t="str">
        <x:v>Backpack</x:v>
      </x:c>
      <x:c r="G176" s="1" t="n">
        <x:v>4</x:v>
      </x:c>
      <x:c r="H176" s="2" t="n">
        <x:v>1300</x:v>
      </x:c>
      <x:c r="I176" s="3" t="n">
        <x:v>0</x:v>
      </x:c>
      <x:c r="J176" s="2" t="n">
        <x:v>650</x:v>
      </x:c>
      <x:c r="K176" s="2" t="n">
        <x:v>120</x:v>
      </x:c>
      <x:c r="L176" s="2" t="n">
        <x:f>G176*H176</x:f>
        <x:v>5200</x:v>
      </x:c>
      <x:c r="M176" s="2" t="n">
        <x:f>ROUND(L176*(1-I176),2)</x:f>
        <x:v>5200</x:v>
      </x:c>
      <x:c r="N176" s="2" t="n">
        <x:f>G176*J176</x:f>
        <x:v>2600</x:v>
      </x:c>
      <x:c r="O176" s="2" t="n">
        <x:f>M176-N176-K176</x:f>
        <x:v>2480</x:v>
      </x:c>
      <x:c r="P176" s="1" t="str">
        <x:f>TEXT(B176,"yyyy-mm")</x:f>
        <x:v>2025-11</x:v>
      </x:c>
    </x:row>
    <x:row r="177">
      <x:c r="A177" s="1" t="str">
        <x:v>ORD-0173</x:v>
      </x:c>
      <x:c r="B177" s="4" t="d">
        <x:v>2025-12-20T00:00:00.000Z</x:v>
      </x:c>
      <x:c r="C177" s="1" t="str">
        <x:v>C-137</x:v>
      </x:c>
      <x:c r="D177" s="1" t="str">
        <x:v>North</x:v>
      </x:c>
      <x:c r="E177" s="1" t="str">
        <x:v>Home</x:v>
      </x:c>
      <x:c r="F177" s="1" t="str">
        <x:v>Storage box</x:v>
      </x:c>
      <x:c r="G177" s="1" t="n">
        <x:v>2</x:v>
      </x:c>
      <x:c r="H177" s="2" t="n">
        <x:v>800</x:v>
      </x:c>
      <x:c r="I177" s="3" t="n">
        <x:v>0</x:v>
      </x:c>
      <x:c r="J177" s="2" t="n">
        <x:v>420</x:v>
      </x:c>
      <x:c r="K177" s="2" t="n">
        <x:v>80</x:v>
      </x:c>
      <x:c r="L177" s="2" t="n">
        <x:f>G177*H177</x:f>
        <x:v>1600</x:v>
      </x:c>
      <x:c r="M177" s="2" t="n">
        <x:f>ROUND(L177*(1-I177),2)</x:f>
        <x:v>1600</x:v>
      </x:c>
      <x:c r="N177" s="2" t="n">
        <x:f>G177*J177</x:f>
        <x:v>840</x:v>
      </x:c>
      <x:c r="O177" s="2" t="n">
        <x:f>M177-N177-K177</x:f>
        <x:v>680</x:v>
      </x:c>
      <x:c r="P177" s="1" t="str">
        <x:f>TEXT(B177,"yyyy-mm")</x:f>
        <x:v>2025-12</x:v>
      </x:c>
    </x:row>
    <x:row r="178">
      <x:c r="A178" s="1" t="str">
        <x:v>ORD-0174</x:v>
      </x:c>
      <x:c r="B178" s="4" t="d">
        <x:v>2025-10-12T00:00:00.000Z</x:v>
      </x:c>
      <x:c r="C178" s="1" t="str">
        <x:v>C-004</x:v>
      </x:c>
      <x:c r="D178" s="1" t="str">
        <x:v>South</x:v>
      </x:c>
      <x:c r="E178" s="1" t="str">
        <x:v>Fashion</x:v>
      </x:c>
      <x:c r="F178" s="1" t="str">
        <x:v>Sneakers</x:v>
      </x:c>
      <x:c r="G178" s="1" t="n">
        <x:v>2</x:v>
      </x:c>
      <x:c r="H178" s="2" t="n">
        <x:v>2400</x:v>
      </x:c>
      <x:c r="I178" s="3" t="n">
        <x:v>0.1</x:v>
      </x:c>
      <x:c r="J178" s="2" t="n">
        <x:v>1200</x:v>
      </x:c>
      <x:c r="K178" s="2" t="n">
        <x:v>120</x:v>
      </x:c>
      <x:c r="L178" s="2" t="n">
        <x:f>G178*H178</x:f>
        <x:v>4800</x:v>
      </x:c>
      <x:c r="M178" s="2" t="n">
        <x:f>ROUND(L178*(1-I178),2)</x:f>
        <x:v>4320</x:v>
      </x:c>
      <x:c r="N178" s="2" t="n">
        <x:f>G178*J178</x:f>
        <x:v>2400</x:v>
      </x:c>
      <x:c r="O178" s="2" t="n">
        <x:f>M178-N178-K178</x:f>
        <x:v>1800</x:v>
      </x:c>
      <x:c r="P178" s="1" t="str">
        <x:f>TEXT(B178,"yyyy-mm")</x:f>
        <x:v>2025-10</x:v>
      </x:c>
    </x:row>
    <x:row r="179">
      <x:c r="A179" s="1" t="str">
        <x:v>ORD-0175</x:v>
      </x:c>
      <x:c r="B179" s="4" t="d">
        <x:v>2025-10-24T00:00:00.000Z</x:v>
      </x:c>
      <x:c r="C179" s="1" t="str">
        <x:v>C-016</x:v>
      </x:c>
      <x:c r="D179" s="1" t="str">
        <x:v>North</x:v>
      </x:c>
      <x:c r="E179" s="1" t="str">
        <x:v>Electronics</x:v>
      </x:c>
      <x:c r="F179" s="1" t="str">
        <x:v>Keyboard</x:v>
      </x:c>
      <x:c r="G179" s="1" t="n">
        <x:v>2</x:v>
      </x:c>
      <x:c r="H179" s="2" t="n">
        <x:v>1500</x:v>
      </x:c>
      <x:c r="I179" s="3" t="n">
        <x:v>0.05</x:v>
      </x:c>
      <x:c r="J179" s="2" t="n">
        <x:v>900</x:v>
      </x:c>
      <x:c r="K179" s="2" t="n">
        <x:v>80</x:v>
      </x:c>
      <x:c r="L179" s="2" t="n">
        <x:f>G179*H179</x:f>
        <x:v>3000</x:v>
      </x:c>
      <x:c r="M179" s="2" t="n">
        <x:f>ROUND(L179*(1-I179),2)</x:f>
        <x:v>2850</x:v>
      </x:c>
      <x:c r="N179" s="2" t="n">
        <x:f>G179*J179</x:f>
        <x:v>1800</x:v>
      </x:c>
      <x:c r="O179" s="2" t="n">
        <x:f>M179-N179-K179</x:f>
        <x:v>970</x:v>
      </x:c>
      <x:c r="P179" s="1" t="str">
        <x:f>TEXT(B179,"yyyy-mm")</x:f>
        <x:v>2025-10</x:v>
      </x:c>
    </x:row>
    <x:row r="180">
      <x:c r="A180" s="1" t="str">
        <x:v>ORD-0176</x:v>
      </x:c>
      <x:c r="B180" s="4" t="d">
        <x:v>2025-07-12T00:00:00.000Z</x:v>
      </x:c>
      <x:c r="C180" s="1" t="str">
        <x:v>C-160</x:v>
      </x:c>
      <x:c r="D180" s="1" t="str">
        <x:v>East</x:v>
      </x:c>
      <x:c r="E180" s="1" t="str">
        <x:v>Fashion</x:v>
      </x:c>
      <x:c r="F180" s="1" t="str">
        <x:v>Backpack</x:v>
      </x:c>
      <x:c r="G180" s="1" t="n">
        <x:v>1</x:v>
      </x:c>
      <x:c r="H180" s="2" t="n">
        <x:v>1300</x:v>
      </x:c>
      <x:c r="I180" s="3" t="n">
        <x:v>0.05</x:v>
      </x:c>
      <x:c r="J180" s="2" t="n">
        <x:v>650</x:v>
      </x:c>
      <x:c r="K180" s="2" t="n">
        <x:v>50</x:v>
      </x:c>
      <x:c r="L180" s="2" t="n">
        <x:f>G180*H180</x:f>
        <x:v>1300</x:v>
      </x:c>
      <x:c r="M180" s="2" t="n">
        <x:f>ROUND(L180*(1-I180),2)</x:f>
        <x:v>1235</x:v>
      </x:c>
      <x:c r="N180" s="2" t="n">
        <x:f>G180*J180</x:f>
        <x:v>650</x:v>
      </x:c>
      <x:c r="O180" s="2" t="n">
        <x:f>M180-N180-K180</x:f>
        <x:v>535</x:v>
      </x:c>
      <x:c r="P180" s="1" t="str">
        <x:f>TEXT(B180,"yyyy-mm")</x:f>
        <x:v>2025-07</x:v>
      </x:c>
    </x:row>
    <x:row r="181">
      <x:c r="A181" s="1" t="str">
        <x:v>ORD-0177</x:v>
      </x:c>
      <x:c r="B181" s="4" t="d">
        <x:v>2025-03-03T00:00:00.000Z</x:v>
      </x:c>
      <x:c r="C181" s="1" t="str">
        <x:v>C-140</x:v>
      </x:c>
      <x:c r="D181" s="1" t="str">
        <x:v>West</x:v>
      </x:c>
      <x:c r="E181" s="1" t="str">
        <x:v>Electronics</x:v>
      </x:c>
      <x:c r="F181" s="1" t="str">
        <x:v>Headphones</x:v>
      </x:c>
      <x:c r="G181" s="1" t="n">
        <x:v>4</x:v>
      </x:c>
      <x:c r="H181" s="2" t="n">
        <x:v>2200</x:v>
      </x:c>
      <x:c r="I181" s="3" t="n">
        <x:v>0.35</x:v>
      </x:c>
      <x:c r="J181" s="2" t="n">
        <x:v>1450</x:v>
      </x:c>
      <x:c r="K181" s="2" t="n">
        <x:v>80</x:v>
      </x:c>
      <x:c r="L181" s="2" t="n">
        <x:f>G181*H181</x:f>
        <x:v>8800</x:v>
      </x:c>
      <x:c r="M181" s="2" t="n">
        <x:f>ROUND(L181*(1-I181),2)</x:f>
        <x:v>5720</x:v>
      </x:c>
      <x:c r="N181" s="2" t="n">
        <x:f>G181*J181</x:f>
        <x:v>5800</x:v>
      </x:c>
      <x:c r="O181" s="2" t="n">
        <x:f>M181-N181-K181</x:f>
        <x:v>-160</x:v>
      </x:c>
      <x:c r="P181" s="1" t="str">
        <x:f>TEXT(B181,"yyyy-mm")</x:f>
        <x:v>2025-03</x:v>
      </x:c>
    </x:row>
    <x:row r="182">
      <x:c r="A182" s="1" t="str">
        <x:v>ORD-0178</x:v>
      </x:c>
      <x:c r="B182" s="4" t="d">
        <x:v>2025-09-07T00:00:00.000Z</x:v>
      </x:c>
      <x:c r="C182" s="1" t="str">
        <x:v>C-263</x:v>
      </x:c>
      <x:c r="D182" s="1" t="str">
        <x:v>North</x:v>
      </x:c>
      <x:c r="E182" s="1" t="str">
        <x:v>Home</x:v>
      </x:c>
      <x:c r="F182" s="1" t="str">
        <x:v>Office chair</x:v>
      </x:c>
      <x:c r="G182" s="1" t="n">
        <x:v>3</x:v>
      </x:c>
      <x:c r="H182" s="2" t="n">
        <x:v>5500</x:v>
      </x:c>
      <x:c r="I182" s="3" t="n">
        <x:v>0.1</x:v>
      </x:c>
      <x:c r="J182" s="2" t="n">
        <x:v>4400</x:v>
      </x:c>
      <x:c r="K182" s="2" t="n">
        <x:v>80</x:v>
      </x:c>
      <x:c r="L182" s="2" t="n">
        <x:f>G182*H182</x:f>
        <x:v>16500</x:v>
      </x:c>
      <x:c r="M182" s="2" t="n">
        <x:f>ROUND(L182*(1-I182),2)</x:f>
        <x:v>14850</x:v>
      </x:c>
      <x:c r="N182" s="2" t="n">
        <x:f>G182*J182</x:f>
        <x:v>13200</x:v>
      </x:c>
      <x:c r="O182" s="2" t="n">
        <x:f>M182-N182-K182</x:f>
        <x:v>1570</x:v>
      </x:c>
      <x:c r="P182" s="1" t="str">
        <x:f>TEXT(B182,"yyyy-mm")</x:f>
        <x:v>2025-09</x:v>
      </x:c>
    </x:row>
    <x:row r="183">
      <x:c r="A183" s="1" t="str">
        <x:v>ORD-0179</x:v>
      </x:c>
      <x:c r="B183" s="4" t="d">
        <x:v>2025-02-22T00:00:00.000Z</x:v>
      </x:c>
      <x:c r="C183" s="1" t="str">
        <x:v>C-158</x:v>
      </x:c>
      <x:c r="D183" s="1" t="str">
        <x:v>North</x:v>
      </x:c>
      <x:c r="E183" s="1" t="str">
        <x:v>Home</x:v>
      </x:c>
      <x:c r="F183" s="1" t="str">
        <x:v>Desk lamp</x:v>
      </x:c>
      <x:c r="G183" s="1" t="n">
        <x:v>2</x:v>
      </x:c>
      <x:c r="H183" s="2" t="n">
        <x:v>1100</x:v>
      </x:c>
      <x:c r="I183" s="3" t="n">
        <x:v>0.25</x:v>
      </x:c>
      <x:c r="J183" s="2" t="n">
        <x:v>650</x:v>
      </x:c>
      <x:c r="K183" s="2" t="n">
        <x:v>80</x:v>
      </x:c>
      <x:c r="L183" s="2" t="n">
        <x:f>G183*H183</x:f>
        <x:v>2200</x:v>
      </x:c>
      <x:c r="M183" s="2" t="n">
        <x:f>ROUND(L183*(1-I183),2)</x:f>
        <x:v>1650</x:v>
      </x:c>
      <x:c r="N183" s="2" t="n">
        <x:f>G183*J183</x:f>
        <x:v>1300</x:v>
      </x:c>
      <x:c r="O183" s="2" t="n">
        <x:f>M183-N183-K183</x:f>
        <x:v>270</x:v>
      </x:c>
      <x:c r="P183" s="1" t="str">
        <x:f>TEXT(B183,"yyyy-mm")</x:f>
        <x:v>2025-02</x:v>
      </x:c>
    </x:row>
    <x:row r="184">
      <x:c r="A184" s="1" t="str">
        <x:v>ORD-0180</x:v>
      </x:c>
      <x:c r="B184" s="4" t="d">
        <x:v>2025-12-07T00:00:00.000Z</x:v>
      </x:c>
      <x:c r="C184" s="1" t="str">
        <x:v>C-155</x:v>
      </x:c>
      <x:c r="D184" s="1" t="str">
        <x:v>South</x:v>
      </x:c>
      <x:c r="E184" s="1" t="str">
        <x:v>Electronics</x:v>
      </x:c>
      <x:c r="F184" s="1" t="str">
        <x:v>Headphones</x:v>
      </x:c>
      <x:c r="G184" s="1" t="n">
        <x:v>2</x:v>
      </x:c>
      <x:c r="H184" s="2" t="n">
        <x:v>2200</x:v>
      </x:c>
      <x:c r="I184" s="3" t="n">
        <x:v>0</x:v>
      </x:c>
      <x:c r="J184" s="2" t="n">
        <x:v>1450</x:v>
      </x:c>
      <x:c r="K184" s="2" t="n">
        <x:v>80</x:v>
      </x:c>
      <x:c r="L184" s="2" t="n">
        <x:f>G184*H184</x:f>
        <x:v>4400</x:v>
      </x:c>
      <x:c r="M184" s="2" t="n">
        <x:f>ROUND(L184*(1-I184),2)</x:f>
        <x:v>4400</x:v>
      </x:c>
      <x:c r="N184" s="2" t="n">
        <x:f>G184*J184</x:f>
        <x:v>2900</x:v>
      </x:c>
      <x:c r="O184" s="2" t="n">
        <x:f>M184-N184-K184</x:f>
        <x:v>1420</x:v>
      </x:c>
      <x:c r="P184" s="1" t="str">
        <x:f>TEXT(B184,"yyyy-mm")</x:f>
        <x:v>2025-12</x:v>
      </x:c>
    </x:row>
    <x:row r="185">
      <x:c r="A185" s="1" t="str">
        <x:v>ORD-0181</x:v>
      </x:c>
      <x:c r="B185" s="4" t="d">
        <x:v>2025-05-16T00:00:00.000Z</x:v>
      </x:c>
      <x:c r="C185" s="1" t="str">
        <x:v>C-221</x:v>
      </x:c>
      <x:c r="D185" s="1" t="str">
        <x:v>South</x:v>
      </x:c>
      <x:c r="E185" s="1" t="str">
        <x:v>Electronics</x:v>
      </x:c>
      <x:c r="F185" s="1" t="str">
        <x:v>Keyboard</x:v>
      </x:c>
      <x:c r="G185" s="1" t="n">
        <x:v>2</x:v>
      </x:c>
      <x:c r="H185" s="2" t="n">
        <x:v>1500</x:v>
      </x:c>
      <x:c r="I185" s="3" t="n">
        <x:v>0</x:v>
      </x:c>
      <x:c r="J185" s="2" t="n">
        <x:v>900</x:v>
      </x:c>
      <x:c r="K185" s="2" t="n">
        <x:v>80</x:v>
      </x:c>
      <x:c r="L185" s="2" t="n">
        <x:f>G185*H185</x:f>
        <x:v>3000</x:v>
      </x:c>
      <x:c r="M185" s="2" t="n">
        <x:f>ROUND(L185*(1-I185),2)</x:f>
        <x:v>3000</x:v>
      </x:c>
      <x:c r="N185" s="2" t="n">
        <x:f>G185*J185</x:f>
        <x:v>1800</x:v>
      </x:c>
      <x:c r="O185" s="2" t="n">
        <x:f>M185-N185-K185</x:f>
        <x:v>1120</x:v>
      </x:c>
      <x:c r="P185" s="1" t="str">
        <x:f>TEXT(B185,"yyyy-mm")</x:f>
        <x:v>2025-05</x:v>
      </x:c>
    </x:row>
    <x:row r="186">
      <x:c r="A186" s="1" t="str">
        <x:v>ORD-0182</x:v>
      </x:c>
      <x:c r="B186" s="4" t="d">
        <x:v>2025-08-18T00:00:00.000Z</x:v>
      </x:c>
      <x:c r="C186" s="1" t="str">
        <x:v>C-182</x:v>
      </x:c>
      <x:c r="D186" s="1" t="str">
        <x:v>North</x:v>
      </x:c>
      <x:c r="E186" s="1" t="str">
        <x:v>Fashion</x:v>
      </x:c>
      <x:c r="F186" s="1" t="str">
        <x:v>T-shirt</x:v>
      </x:c>
      <x:c r="G186" s="1" t="n">
        <x:v>4</x:v>
      </x:c>
      <x:c r="H186" s="2" t="n">
        <x:v>700</x:v>
      </x:c>
      <x:c r="I186" s="3" t="n">
        <x:v>0.25</x:v>
      </x:c>
      <x:c r="J186" s="2" t="n">
        <x:v>300</x:v>
      </x:c>
      <x:c r="K186" s="2" t="n">
        <x:v>120</x:v>
      </x:c>
      <x:c r="L186" s="2" t="n">
        <x:f>G186*H186</x:f>
        <x:v>2800</x:v>
      </x:c>
      <x:c r="M186" s="2" t="n">
        <x:f>ROUND(L186*(1-I186),2)</x:f>
        <x:v>2100</x:v>
      </x:c>
      <x:c r="N186" s="2" t="n">
        <x:f>G186*J186</x:f>
        <x:v>1200</x:v>
      </x:c>
      <x:c r="O186" s="2" t="n">
        <x:f>M186-N186-K186</x:f>
        <x:v>780</x:v>
      </x:c>
      <x:c r="P186" s="1" t="str">
        <x:f>TEXT(B186,"yyyy-mm")</x:f>
        <x:v>2025-08</x:v>
      </x:c>
    </x:row>
    <x:row r="187">
      <x:c r="A187" s="1" t="str">
        <x:v>ORD-0183</x:v>
      </x:c>
      <x:c r="B187" s="4" t="d">
        <x:v>2025-01-30T00:00:00.000Z</x:v>
      </x:c>
      <x:c r="C187" s="1" t="str">
        <x:v>C-040</x:v>
      </x:c>
      <x:c r="D187" s="1" t="str">
        <x:v>East</x:v>
      </x:c>
      <x:c r="E187" s="1" t="str">
        <x:v>Electronics</x:v>
      </x:c>
      <x:c r="F187" s="1" t="str">
        <x:v>Headphones</x:v>
      </x:c>
      <x:c r="G187" s="1" t="n">
        <x:v>4</x:v>
      </x:c>
      <x:c r="H187" s="2" t="n">
        <x:v>2200</x:v>
      </x:c>
      <x:c r="I187" s="3" t="n">
        <x:v>0.15</x:v>
      </x:c>
      <x:c r="J187" s="2" t="n">
        <x:v>1450</x:v>
      </x:c>
      <x:c r="K187" s="2" t="n">
        <x:v>120</x:v>
      </x:c>
      <x:c r="L187" s="2" t="n">
        <x:f>G187*H187</x:f>
        <x:v>8800</x:v>
      </x:c>
      <x:c r="M187" s="2" t="n">
        <x:f>ROUND(L187*(1-I187),2)</x:f>
        <x:v>7480</x:v>
      </x:c>
      <x:c r="N187" s="2" t="n">
        <x:f>G187*J187</x:f>
        <x:v>5800</x:v>
      </x:c>
      <x:c r="O187" s="2" t="n">
        <x:f>M187-N187-K187</x:f>
        <x:v>1560</x:v>
      </x:c>
      <x:c r="P187" s="1" t="str">
        <x:f>TEXT(B187,"yyyy-mm")</x:f>
        <x:v>2025-01</x:v>
      </x:c>
    </x:row>
    <x:row r="188">
      <x:c r="A188" s="1" t="str">
        <x:v>ORD-0184</x:v>
      </x:c>
      <x:c r="B188" s="4" t="d">
        <x:v>2025-06-04T00:00:00.000Z</x:v>
      </x:c>
      <x:c r="C188" s="1" t="str">
        <x:v>C-208</x:v>
      </x:c>
      <x:c r="D188" s="1" t="str">
        <x:v>North</x:v>
      </x:c>
      <x:c r="E188" s="1" t="str">
        <x:v>Home</x:v>
      </x:c>
      <x:c r="F188" s="1" t="str">
        <x:v>Office chair</x:v>
      </x:c>
      <x:c r="G188" s="1" t="n">
        <x:v>3</x:v>
      </x:c>
      <x:c r="H188" s="2" t="n">
        <x:v>5500</x:v>
      </x:c>
      <x:c r="I188" s="3" t="n">
        <x:v>0.1</x:v>
      </x:c>
      <x:c r="J188" s="2" t="n">
        <x:v>4400</x:v>
      </x:c>
      <x:c r="K188" s="2" t="n">
        <x:v>50</x:v>
      </x:c>
      <x:c r="L188" s="2" t="n">
        <x:f>G188*H188</x:f>
        <x:v>16500</x:v>
      </x:c>
      <x:c r="M188" s="2" t="n">
        <x:f>ROUND(L188*(1-I188),2)</x:f>
        <x:v>14850</x:v>
      </x:c>
      <x:c r="N188" s="2" t="n">
        <x:f>G188*J188</x:f>
        <x:v>13200</x:v>
      </x:c>
      <x:c r="O188" s="2" t="n">
        <x:f>M188-N188-K188</x:f>
        <x:v>1600</x:v>
      </x:c>
      <x:c r="P188" s="1" t="str">
        <x:f>TEXT(B188,"yyyy-mm")</x:f>
        <x:v>2025-06</x:v>
      </x:c>
    </x:row>
    <x:row r="189">
      <x:c r="A189" s="1" t="str">
        <x:v>ORD-0185</x:v>
      </x:c>
      <x:c r="B189" s="4" t="d">
        <x:v>2025-11-30T00:00:00.000Z</x:v>
      </x:c>
      <x:c r="C189" s="1" t="str">
        <x:v>C-186</x:v>
      </x:c>
      <x:c r="D189" s="1" t="str">
        <x:v>North</x:v>
      </x:c>
      <x:c r="E189" s="1" t="str">
        <x:v>Home</x:v>
      </x:c>
      <x:c r="F189" s="1" t="str">
        <x:v>Desk lamp</x:v>
      </x:c>
      <x:c r="G189" s="1" t="n">
        <x:v>4</x:v>
      </x:c>
      <x:c r="H189" s="2" t="n">
        <x:v>1100</x:v>
      </x:c>
      <x:c r="I189" s="3" t="n">
        <x:v>0.35</x:v>
      </x:c>
      <x:c r="J189" s="2" t="n">
        <x:v>650</x:v>
      </x:c>
      <x:c r="K189" s="2" t="n">
        <x:v>50</x:v>
      </x:c>
      <x:c r="L189" s="2" t="n">
        <x:f>G189*H189</x:f>
        <x:v>4400</x:v>
      </x:c>
      <x:c r="M189" s="2" t="n">
        <x:f>ROUND(L189*(1-I189),2)</x:f>
        <x:v>2860</x:v>
      </x:c>
      <x:c r="N189" s="2" t="n">
        <x:f>G189*J189</x:f>
        <x:v>2600</x:v>
      </x:c>
      <x:c r="O189" s="2" t="n">
        <x:f>M189-N189-K189</x:f>
        <x:v>210</x:v>
      </x:c>
      <x:c r="P189" s="1" t="str">
        <x:f>TEXT(B189,"yyyy-mm")</x:f>
        <x:v>2025-11</x:v>
      </x:c>
    </x:row>
    <x:row r="190">
      <x:c r="A190" s="1" t="str">
        <x:v>ORD-0186</x:v>
      </x:c>
      <x:c r="B190" s="4" t="d">
        <x:v>2025-04-03T00:00:00.000Z</x:v>
      </x:c>
      <x:c r="C190" s="1" t="str">
        <x:v>C-203</x:v>
      </x:c>
      <x:c r="D190" s="1" t="str">
        <x:v>East</x:v>
      </x:c>
      <x:c r="E190" s="1" t="str">
        <x:v>Home</x:v>
      </x:c>
      <x:c r="F190" s="1" t="str">
        <x:v>Office chair</x:v>
      </x:c>
      <x:c r="G190" s="1" t="n">
        <x:v>3</x:v>
      </x:c>
      <x:c r="H190" s="2" t="n">
        <x:v>5500</x:v>
      </x:c>
      <x:c r="I190" s="3" t="n">
        <x:v>0.25</x:v>
      </x:c>
      <x:c r="J190" s="2" t="n">
        <x:v>4400</x:v>
      </x:c>
      <x:c r="K190" s="2" t="n">
        <x:v>50</x:v>
      </x:c>
      <x:c r="L190" s="2" t="n">
        <x:f>G190*H190</x:f>
        <x:v>16500</x:v>
      </x:c>
      <x:c r="M190" s="2" t="n">
        <x:f>ROUND(L190*(1-I190),2)</x:f>
        <x:v>12375</x:v>
      </x:c>
      <x:c r="N190" s="2" t="n">
        <x:f>G190*J190</x:f>
        <x:v>13200</x:v>
      </x:c>
      <x:c r="O190" s="2" t="n">
        <x:f>M190-N190-K190</x:f>
        <x:v>-875</x:v>
      </x:c>
      <x:c r="P190" s="1" t="str">
        <x:f>TEXT(B190,"yyyy-mm")</x:f>
        <x:v>2025-04</x:v>
      </x:c>
    </x:row>
    <x:row r="191">
      <x:c r="A191" s="1" t="str">
        <x:v>ORD-0187</x:v>
      </x:c>
      <x:c r="B191" s="4" t="d">
        <x:v>2025-05-17T00:00:00.000Z</x:v>
      </x:c>
      <x:c r="C191" s="1" t="str">
        <x:v>C-059</x:v>
      </x:c>
      <x:c r="D191" s="1" t="str">
        <x:v>South</x:v>
      </x:c>
      <x:c r="E191" s="1" t="str">
        <x:v>Electronics</x:v>
      </x:c>
      <x:c r="F191" s="1" t="str">
        <x:v>Smartwatch</x:v>
      </x:c>
      <x:c r="G191" s="1" t="n">
        <x:v>3</x:v>
      </x:c>
      <x:c r="H191" s="2" t="n">
        <x:v>4200</x:v>
      </x:c>
      <x:c r="I191" s="3" t="n">
        <x:v>0</x:v>
      </x:c>
      <x:c r="J191" s="2" t="n">
        <x:v>3000</x:v>
      </x:c>
      <x:c r="K191" s="2" t="n">
        <x:v>80</x:v>
      </x:c>
      <x:c r="L191" s="2" t="n">
        <x:f>G191*H191</x:f>
        <x:v>12600</x:v>
      </x:c>
      <x:c r="M191" s="2" t="n">
        <x:f>ROUND(L191*(1-I191),2)</x:f>
        <x:v>12600</x:v>
      </x:c>
      <x:c r="N191" s="2" t="n">
        <x:f>G191*J191</x:f>
        <x:v>9000</x:v>
      </x:c>
      <x:c r="O191" s="2" t="n">
        <x:f>M191-N191-K191</x:f>
        <x:v>3520</x:v>
      </x:c>
      <x:c r="P191" s="1" t="str">
        <x:f>TEXT(B191,"yyyy-mm")</x:f>
        <x:v>2025-05</x:v>
      </x:c>
    </x:row>
    <x:row r="192">
      <x:c r="A192" s="1" t="str">
        <x:v>ORD-0188</x:v>
      </x:c>
      <x:c r="B192" s="4" t="d">
        <x:v>2025-10-04T00:00:00.000Z</x:v>
      </x:c>
      <x:c r="C192" s="1" t="str">
        <x:v>C-075</x:v>
      </x:c>
      <x:c r="D192" s="1" t="str">
        <x:v>East</x:v>
      </x:c>
      <x:c r="E192" s="1" t="str">
        <x:v>Electronics</x:v>
      </x:c>
      <x:c r="F192" s="1" t="str">
        <x:v>Smartwatch</x:v>
      </x:c>
      <x:c r="G192" s="1" t="n">
        <x:v>2</x:v>
      </x:c>
      <x:c r="H192" s="2" t="n">
        <x:v>4200</x:v>
      </x:c>
      <x:c r="I192" s="3" t="n">
        <x:v>0.05</x:v>
      </x:c>
      <x:c r="J192" s="2" t="n">
        <x:v>3000</x:v>
      </x:c>
      <x:c r="K192" s="2" t="n">
        <x:v>50</x:v>
      </x:c>
      <x:c r="L192" s="2" t="n">
        <x:f>G192*H192</x:f>
        <x:v>8400</x:v>
      </x:c>
      <x:c r="M192" s="2" t="n">
        <x:f>ROUND(L192*(1-I192),2)</x:f>
        <x:v>7980</x:v>
      </x:c>
      <x:c r="N192" s="2" t="n">
        <x:f>G192*J192</x:f>
        <x:v>6000</x:v>
      </x:c>
      <x:c r="O192" s="2" t="n">
        <x:f>M192-N192-K192</x:f>
        <x:v>1930</x:v>
      </x:c>
      <x:c r="P192" s="1" t="str">
        <x:f>TEXT(B192,"yyyy-mm")</x:f>
        <x:v>2025-10</x:v>
      </x:c>
    </x:row>
    <x:row r="193">
      <x:c r="A193" s="1" t="str">
        <x:v>ORD-0189</x:v>
      </x:c>
      <x:c r="B193" s="4" t="d">
        <x:v>2025-09-25T00:00:00.000Z</x:v>
      </x:c>
      <x:c r="C193" s="1" t="str">
        <x:v>C-253</x:v>
      </x:c>
      <x:c r="D193" s="1" t="str">
        <x:v>West</x:v>
      </x:c>
      <x:c r="E193" s="1" t="str">
        <x:v>Electronics</x:v>
      </x:c>
      <x:c r="F193" s="1" t="str">
        <x:v>Keyboard</x:v>
      </x:c>
      <x:c r="G193" s="1" t="n">
        <x:v>4</x:v>
      </x:c>
      <x:c r="H193" s="2" t="n">
        <x:v>1500</x:v>
      </x:c>
      <x:c r="I193" s="3" t="n">
        <x:v>0.05</x:v>
      </x:c>
      <x:c r="J193" s="2" t="n">
        <x:v>900</x:v>
      </x:c>
      <x:c r="K193" s="2" t="n">
        <x:v>120</x:v>
      </x:c>
      <x:c r="L193" s="2" t="n">
        <x:f>G193*H193</x:f>
        <x:v>6000</x:v>
      </x:c>
      <x:c r="M193" s="2" t="n">
        <x:f>ROUND(L193*(1-I193),2)</x:f>
        <x:v>5700</x:v>
      </x:c>
      <x:c r="N193" s="2" t="n">
        <x:f>G193*J193</x:f>
        <x:v>3600</x:v>
      </x:c>
      <x:c r="O193" s="2" t="n">
        <x:f>M193-N193-K193</x:f>
        <x:v>1980</x:v>
      </x:c>
      <x:c r="P193" s="1" t="str">
        <x:f>TEXT(B193,"yyyy-mm")</x:f>
        <x:v>2025-09</x:v>
      </x:c>
    </x:row>
    <x:row r="194">
      <x:c r="A194" s="1" t="str">
        <x:v>ORD-0190</x:v>
      </x:c>
      <x:c r="B194" s="4" t="d">
        <x:v>2025-12-11T00:00:00.000Z</x:v>
      </x:c>
      <x:c r="C194" s="1" t="str">
        <x:v>C-078</x:v>
      </x:c>
      <x:c r="D194" s="1" t="str">
        <x:v>West</x:v>
      </x:c>
      <x:c r="E194" s="1" t="str">
        <x:v>Fashion</x:v>
      </x:c>
      <x:c r="F194" s="1" t="str">
        <x:v>Backpack</x:v>
      </x:c>
      <x:c r="G194" s="1" t="n">
        <x:v>1</x:v>
      </x:c>
      <x:c r="H194" s="2" t="n">
        <x:v>1300</x:v>
      </x:c>
      <x:c r="I194" s="3" t="n">
        <x:v>0.35</x:v>
      </x:c>
      <x:c r="J194" s="2" t="n">
        <x:v>650</x:v>
      </x:c>
      <x:c r="K194" s="2" t="n">
        <x:v>80</x:v>
      </x:c>
      <x:c r="L194" s="2" t="n">
        <x:f>G194*H194</x:f>
        <x:v>1300</x:v>
      </x:c>
      <x:c r="M194" s="2" t="n">
        <x:f>ROUND(L194*(1-I194),2)</x:f>
        <x:v>845</x:v>
      </x:c>
      <x:c r="N194" s="2" t="n">
        <x:f>G194*J194</x:f>
        <x:v>650</x:v>
      </x:c>
      <x:c r="O194" s="2" t="n">
        <x:f>M194-N194-K194</x:f>
        <x:v>115</x:v>
      </x:c>
      <x:c r="P194" s="1" t="str">
        <x:f>TEXT(B194,"yyyy-mm")</x:f>
        <x:v>2025-12</x:v>
      </x:c>
    </x:row>
    <x:row r="195">
      <x:c r="A195" s="1" t="str">
        <x:v>ORD-0191</x:v>
      </x:c>
      <x:c r="B195" s="4" t="d">
        <x:v>2025-07-19T00:00:00.000Z</x:v>
      </x:c>
      <x:c r="C195" s="1" t="str">
        <x:v>C-029</x:v>
      </x:c>
      <x:c r="D195" s="1" t="str">
        <x:v>East</x:v>
      </x:c>
      <x:c r="E195" s="1" t="str">
        <x:v>Fashion</x:v>
      </x:c>
      <x:c r="F195" s="1" t="str">
        <x:v>Sneakers</x:v>
      </x:c>
      <x:c r="G195" s="1" t="n">
        <x:v>1</x:v>
      </x:c>
      <x:c r="H195" s="2" t="n">
        <x:v>2400</x:v>
      </x:c>
      <x:c r="I195" s="3" t="n">
        <x:v>0.1</x:v>
      </x:c>
      <x:c r="J195" s="2" t="n">
        <x:v>1200</x:v>
      </x:c>
      <x:c r="K195" s="2" t="n">
        <x:v>80</x:v>
      </x:c>
      <x:c r="L195" s="2" t="n">
        <x:f>G195*H195</x:f>
        <x:v>2400</x:v>
      </x:c>
      <x:c r="M195" s="2" t="n">
        <x:f>ROUND(L195*(1-I195),2)</x:f>
        <x:v>2160</x:v>
      </x:c>
      <x:c r="N195" s="2" t="n">
        <x:f>G195*J195</x:f>
        <x:v>1200</x:v>
      </x:c>
      <x:c r="O195" s="2" t="n">
        <x:f>M195-N195-K195</x:f>
        <x:v>880</x:v>
      </x:c>
      <x:c r="P195" s="1" t="str">
        <x:f>TEXT(B195,"yyyy-mm")</x:f>
        <x:v>2025-07</x:v>
      </x:c>
    </x:row>
    <x:row r="196">
      <x:c r="A196" s="1" t="str">
        <x:v>ORD-0192</x:v>
      </x:c>
      <x:c r="B196" s="4" t="d">
        <x:v>2025-07-12T00:00:00.000Z</x:v>
      </x:c>
      <x:c r="C196" s="1" t="str">
        <x:v>C-147</x:v>
      </x:c>
      <x:c r="D196" s="1" t="str">
        <x:v>North</x:v>
      </x:c>
      <x:c r="E196" s="1" t="str">
        <x:v>Electronics</x:v>
      </x:c>
      <x:c r="F196" s="1" t="str">
        <x:v>Headphones</x:v>
      </x:c>
      <x:c r="G196" s="1" t="n">
        <x:v>1</x:v>
      </x:c>
      <x:c r="H196" s="2" t="n">
        <x:v>2200</x:v>
      </x:c>
      <x:c r="I196" s="3" t="n">
        <x:v>0</x:v>
      </x:c>
      <x:c r="J196" s="2" t="n">
        <x:v>1450</x:v>
      </x:c>
      <x:c r="K196" s="2" t="n">
        <x:v>120</x:v>
      </x:c>
      <x:c r="L196" s="2" t="n">
        <x:f>G196*H196</x:f>
        <x:v>2200</x:v>
      </x:c>
      <x:c r="M196" s="2" t="n">
        <x:f>ROUND(L196*(1-I196),2)</x:f>
        <x:v>2200</x:v>
      </x:c>
      <x:c r="N196" s="2" t="n">
        <x:f>G196*J196</x:f>
        <x:v>1450</x:v>
      </x:c>
      <x:c r="O196" s="2" t="n">
        <x:f>M196-N196-K196</x:f>
        <x:v>630</x:v>
      </x:c>
      <x:c r="P196" s="1" t="str">
        <x:f>TEXT(B196,"yyyy-mm")</x:f>
        <x:v>2025-07</x:v>
      </x:c>
    </x:row>
    <x:row r="197">
      <x:c r="A197" s="1" t="str">
        <x:v>ORD-0193</x:v>
      </x:c>
      <x:c r="B197" s="4" t="d">
        <x:v>2025-09-19T00:00:00.000Z</x:v>
      </x:c>
      <x:c r="C197" s="1" t="str">
        <x:v>C-284</x:v>
      </x:c>
      <x:c r="D197" s="1" t="str">
        <x:v>North</x:v>
      </x:c>
      <x:c r="E197" s="1" t="str">
        <x:v>Home</x:v>
      </x:c>
      <x:c r="F197" s="1" t="str">
        <x:v>Office chair</x:v>
      </x:c>
      <x:c r="G197" s="1" t="n">
        <x:v>4</x:v>
      </x:c>
      <x:c r="H197" s="2" t="n">
        <x:v>5500</x:v>
      </x:c>
      <x:c r="I197" s="3" t="n">
        <x:v>0.15</x:v>
      </x:c>
      <x:c r="J197" s="2" t="n">
        <x:v>4400</x:v>
      </x:c>
      <x:c r="K197" s="2" t="n">
        <x:v>120</x:v>
      </x:c>
      <x:c r="L197" s="2" t="n">
        <x:f>G197*H197</x:f>
        <x:v>22000</x:v>
      </x:c>
      <x:c r="M197" s="2" t="n">
        <x:f>ROUND(L197*(1-I197),2)</x:f>
        <x:v>18700</x:v>
      </x:c>
      <x:c r="N197" s="2" t="n">
        <x:f>G197*J197</x:f>
        <x:v>17600</x:v>
      </x:c>
      <x:c r="O197" s="2" t="n">
        <x:f>M197-N197-K197</x:f>
        <x:v>980</x:v>
      </x:c>
      <x:c r="P197" s="1" t="str">
        <x:f>TEXT(B197,"yyyy-mm")</x:f>
        <x:v>2025-09</x:v>
      </x:c>
    </x:row>
    <x:row r="198">
      <x:c r="A198" s="1" t="str">
        <x:v>ORD-0194</x:v>
      </x:c>
      <x:c r="B198" s="4" t="d">
        <x:v>2025-10-16T00:00:00.000Z</x:v>
      </x:c>
      <x:c r="C198" s="1" t="str">
        <x:v>C-257</x:v>
      </x:c>
      <x:c r="D198" s="1" t="str">
        <x:v>South</x:v>
      </x:c>
      <x:c r="E198" s="1" t="str">
        <x:v>Fashion</x:v>
      </x:c>
      <x:c r="F198" s="1" t="str">
        <x:v>Backpack</x:v>
      </x:c>
      <x:c r="G198" s="1" t="n">
        <x:v>1</x:v>
      </x:c>
      <x:c r="H198" s="2" t="n">
        <x:v>1300</x:v>
      </x:c>
      <x:c r="I198" s="3" t="n">
        <x:v>0.25</x:v>
      </x:c>
      <x:c r="J198" s="2" t="n">
        <x:v>650</x:v>
      </x:c>
      <x:c r="K198" s="2" t="n">
        <x:v>80</x:v>
      </x:c>
      <x:c r="L198" s="2" t="n">
        <x:f>G198*H198</x:f>
        <x:v>1300</x:v>
      </x:c>
      <x:c r="M198" s="2" t="n">
        <x:f>ROUND(L198*(1-I198),2)</x:f>
        <x:v>975</x:v>
      </x:c>
      <x:c r="N198" s="2" t="n">
        <x:f>G198*J198</x:f>
        <x:v>650</x:v>
      </x:c>
      <x:c r="O198" s="2" t="n">
        <x:f>M198-N198-K198</x:f>
        <x:v>245</x:v>
      </x:c>
      <x:c r="P198" s="1" t="str">
        <x:f>TEXT(B198,"yyyy-mm")</x:f>
        <x:v>2025-10</x:v>
      </x:c>
    </x:row>
    <x:row r="199">
      <x:c r="A199" s="1" t="str">
        <x:v>ORD-0195</x:v>
      </x:c>
      <x:c r="B199" s="4" t="d">
        <x:v>2025-02-03T00:00:00.000Z</x:v>
      </x:c>
      <x:c r="C199" s="1" t="str">
        <x:v>C-259</x:v>
      </x:c>
      <x:c r="D199" s="1" t="str">
        <x:v>South</x:v>
      </x:c>
      <x:c r="E199" s="1" t="str">
        <x:v>Fashion</x:v>
      </x:c>
      <x:c r="F199" s="1" t="str">
        <x:v>Backpack</x:v>
      </x:c>
      <x:c r="G199" s="1" t="n">
        <x:v>1</x:v>
      </x:c>
      <x:c r="H199" s="2" t="n">
        <x:v>1300</x:v>
      </x:c>
      <x:c r="I199" s="3" t="n">
        <x:v>0.35</x:v>
      </x:c>
      <x:c r="J199" s="2" t="n">
        <x:v>650</x:v>
      </x:c>
      <x:c r="K199" s="2" t="n">
        <x:v>50</x:v>
      </x:c>
      <x:c r="L199" s="2" t="n">
        <x:f>G199*H199</x:f>
        <x:v>1300</x:v>
      </x:c>
      <x:c r="M199" s="2" t="n">
        <x:f>ROUND(L199*(1-I199),2)</x:f>
        <x:v>845</x:v>
      </x:c>
      <x:c r="N199" s="2" t="n">
        <x:f>G199*J199</x:f>
        <x:v>650</x:v>
      </x:c>
      <x:c r="O199" s="2" t="n">
        <x:f>M199-N199-K199</x:f>
        <x:v>145</x:v>
      </x:c>
      <x:c r="P199" s="1" t="str">
        <x:f>TEXT(B199,"yyyy-mm")</x:f>
        <x:v>2025-02</x:v>
      </x:c>
    </x:row>
    <x:row r="200">
      <x:c r="A200" s="1" t="str">
        <x:v>ORD-0196</x:v>
      </x:c>
      <x:c r="B200" s="4" t="d">
        <x:v>2025-10-17T00:00:00.000Z</x:v>
      </x:c>
      <x:c r="C200" s="1" t="str">
        <x:v>C-082</x:v>
      </x:c>
      <x:c r="D200" s="1" t="str">
        <x:v>East</x:v>
      </x:c>
      <x:c r="E200" s="1" t="str">
        <x:v>Home</x:v>
      </x:c>
      <x:c r="F200" s="1" t="str">
        <x:v>Desk lamp</x:v>
      </x:c>
      <x:c r="G200" s="1" t="n">
        <x:v>3</x:v>
      </x:c>
      <x:c r="H200" s="2" t="n">
        <x:v>1100</x:v>
      </x:c>
      <x:c r="I200" s="3" t="n">
        <x:v>0.25</x:v>
      </x:c>
      <x:c r="J200" s="2" t="n">
        <x:v>650</x:v>
      </x:c>
      <x:c r="K200" s="2" t="n">
        <x:v>80</x:v>
      </x:c>
      <x:c r="L200" s="2" t="n">
        <x:f>G200*H200</x:f>
        <x:v>3300</x:v>
      </x:c>
      <x:c r="M200" s="2" t="n">
        <x:f>ROUND(L200*(1-I200),2)</x:f>
        <x:v>2475</x:v>
      </x:c>
      <x:c r="N200" s="2" t="n">
        <x:f>G200*J200</x:f>
        <x:v>1950</x:v>
      </x:c>
      <x:c r="O200" s="2" t="n">
        <x:f>M200-N200-K200</x:f>
        <x:v>445</x:v>
      </x:c>
      <x:c r="P200" s="1" t="str">
        <x:f>TEXT(B200,"yyyy-mm")</x:f>
        <x:v>2025-10</x:v>
      </x:c>
    </x:row>
    <x:row r="201">
      <x:c r="A201" s="1" t="str">
        <x:v>ORD-0197</x:v>
      </x:c>
      <x:c r="B201" s="4" t="d">
        <x:v>2025-06-20T00:00:00.000Z</x:v>
      </x:c>
      <x:c r="C201" s="1" t="str">
        <x:v>C-027</x:v>
      </x:c>
      <x:c r="D201" s="1" t="str">
        <x:v>East</x:v>
      </x:c>
      <x:c r="E201" s="1" t="str">
        <x:v>Fashion</x:v>
      </x:c>
      <x:c r="F201" s="1" t="str">
        <x:v>Backpack</x:v>
      </x:c>
      <x:c r="G201" s="1" t="n">
        <x:v>1</x:v>
      </x:c>
      <x:c r="H201" s="2" t="n">
        <x:v>1300</x:v>
      </x:c>
      <x:c r="I201" s="3" t="n">
        <x:v>0.35</x:v>
      </x:c>
      <x:c r="J201" s="2" t="n">
        <x:v>650</x:v>
      </x:c>
      <x:c r="K201" s="2" t="n">
        <x:v>80</x:v>
      </x:c>
      <x:c r="L201" s="2" t="n">
        <x:f>G201*H201</x:f>
        <x:v>1300</x:v>
      </x:c>
      <x:c r="M201" s="2" t="n">
        <x:f>ROUND(L201*(1-I201),2)</x:f>
        <x:v>845</x:v>
      </x:c>
      <x:c r="N201" s="2" t="n">
        <x:f>G201*J201</x:f>
        <x:v>650</x:v>
      </x:c>
      <x:c r="O201" s="2" t="n">
        <x:f>M201-N201-K201</x:f>
        <x:v>115</x:v>
      </x:c>
      <x:c r="P201" s="1" t="str">
        <x:f>TEXT(B201,"yyyy-mm")</x:f>
        <x:v>2025-06</x:v>
      </x:c>
    </x:row>
    <x:row r="202">
      <x:c r="A202" s="1" t="str">
        <x:v>ORD-0198</x:v>
      </x:c>
      <x:c r="B202" s="4" t="d">
        <x:v>2025-02-09T00:00:00.000Z</x:v>
      </x:c>
      <x:c r="C202" s="1" t="str">
        <x:v>C-077</x:v>
      </x:c>
      <x:c r="D202" s="1" t="str">
        <x:v>East</x:v>
      </x:c>
      <x:c r="E202" s="1" t="str">
        <x:v>Home</x:v>
      </x:c>
      <x:c r="F202" s="1" t="str">
        <x:v>Office chair</x:v>
      </x:c>
      <x:c r="G202" s="1" t="n">
        <x:v>1</x:v>
      </x:c>
      <x:c r="H202" s="2" t="n">
        <x:v>5500</x:v>
      </x:c>
      <x:c r="I202" s="3" t="n">
        <x:v>0.1</x:v>
      </x:c>
      <x:c r="J202" s="2" t="n">
        <x:v>4400</x:v>
      </x:c>
      <x:c r="K202" s="2" t="n">
        <x:v>120</x:v>
      </x:c>
      <x:c r="L202" s="2" t="n">
        <x:f>G202*H202</x:f>
        <x:v>5500</x:v>
      </x:c>
      <x:c r="M202" s="2" t="n">
        <x:f>ROUND(L202*(1-I202),2)</x:f>
        <x:v>4950</x:v>
      </x:c>
      <x:c r="N202" s="2" t="n">
        <x:f>G202*J202</x:f>
        <x:v>4400</x:v>
      </x:c>
      <x:c r="O202" s="2" t="n">
        <x:f>M202-N202-K202</x:f>
        <x:v>430</x:v>
      </x:c>
      <x:c r="P202" s="1" t="str">
        <x:f>TEXT(B202,"yyyy-mm")</x:f>
        <x:v>2025-02</x:v>
      </x:c>
    </x:row>
    <x:row r="203">
      <x:c r="A203" s="1" t="str">
        <x:v>ORD-0199</x:v>
      </x:c>
      <x:c r="B203" s="4" t="d">
        <x:v>2025-10-31T00:00:00.000Z</x:v>
      </x:c>
      <x:c r="C203" s="1" t="str">
        <x:v>C-201</x:v>
      </x:c>
      <x:c r="D203" s="1" t="str">
        <x:v>South</x:v>
      </x:c>
      <x:c r="E203" s="1" t="str">
        <x:v>Fashion</x:v>
      </x:c>
      <x:c r="F203" s="1" t="str">
        <x:v>Backpack</x:v>
      </x:c>
      <x:c r="G203" s="1" t="n">
        <x:v>1</x:v>
      </x:c>
      <x:c r="H203" s="2" t="n">
        <x:v>1300</x:v>
      </x:c>
      <x:c r="I203" s="3" t="n">
        <x:v>0.1</x:v>
      </x:c>
      <x:c r="J203" s="2" t="n">
        <x:v>650</x:v>
      </x:c>
      <x:c r="K203" s="2" t="n">
        <x:v>80</x:v>
      </x:c>
      <x:c r="L203" s="2" t="n">
        <x:f>G203*H203</x:f>
        <x:v>1300</x:v>
      </x:c>
      <x:c r="M203" s="2" t="n">
        <x:f>ROUND(L203*(1-I203),2)</x:f>
        <x:v>1170</x:v>
      </x:c>
      <x:c r="N203" s="2" t="n">
        <x:f>G203*J203</x:f>
        <x:v>650</x:v>
      </x:c>
      <x:c r="O203" s="2" t="n">
        <x:f>M203-N203-K203</x:f>
        <x:v>440</x:v>
      </x:c>
      <x:c r="P203" s="1" t="str">
        <x:f>TEXT(B203,"yyyy-mm")</x:f>
        <x:v>2025-10</x:v>
      </x:c>
    </x:row>
    <x:row r="204">
      <x:c r="A204" s="1" t="str">
        <x:v>ORD-0200</x:v>
      </x:c>
      <x:c r="B204" s="4" t="d">
        <x:v>2025-08-22T00:00:00.000Z</x:v>
      </x:c>
      <x:c r="C204" s="1" t="str">
        <x:v>C-270</x:v>
      </x:c>
      <x:c r="D204" s="1" t="str">
        <x:v>North</x:v>
      </x:c>
      <x:c r="E204" s="1" t="str">
        <x:v>Fashion</x:v>
      </x:c>
      <x:c r="F204" s="1" t="str">
        <x:v>Backpack</x:v>
      </x:c>
      <x:c r="G204" s="1" t="n">
        <x:v>4</x:v>
      </x:c>
      <x:c r="H204" s="2" t="n">
        <x:v>1300</x:v>
      </x:c>
      <x:c r="I204" s="3" t="n">
        <x:v>0.05</x:v>
      </x:c>
      <x:c r="J204" s="2" t="n">
        <x:v>650</x:v>
      </x:c>
      <x:c r="K204" s="2" t="n">
        <x:v>120</x:v>
      </x:c>
      <x:c r="L204" s="2" t="n">
        <x:f>G204*H204</x:f>
        <x:v>5200</x:v>
      </x:c>
      <x:c r="M204" s="2" t="n">
        <x:f>ROUND(L204*(1-I204),2)</x:f>
        <x:v>4940</x:v>
      </x:c>
      <x:c r="N204" s="2" t="n">
        <x:f>G204*J204</x:f>
        <x:v>2600</x:v>
      </x:c>
      <x:c r="O204" s="2" t="n">
        <x:f>M204-N204-K204</x:f>
        <x:v>2220</x:v>
      </x:c>
      <x:c r="P204" s="1" t="str">
        <x:f>TEXT(B204,"yyyy-mm")</x:f>
        <x:v>2025-08</x:v>
      </x:c>
    </x:row>
    <x:row r="205">
      <x:c r="A205" s="1" t="str">
        <x:v>ORD-0201</x:v>
      </x:c>
      <x:c r="B205" s="4" t="d">
        <x:v>2025-06-06T00:00:00.000Z</x:v>
      </x:c>
      <x:c r="C205" s="1" t="str">
        <x:v>C-110</x:v>
      </x:c>
      <x:c r="D205" s="1" t="str">
        <x:v>East</x:v>
      </x:c>
      <x:c r="E205" s="1" t="str">
        <x:v>Fashion</x:v>
      </x:c>
      <x:c r="F205" s="1" t="str">
        <x:v>Backpack</x:v>
      </x:c>
      <x:c r="G205" s="1" t="n">
        <x:v>4</x:v>
      </x:c>
      <x:c r="H205" s="2" t="n">
        <x:v>1300</x:v>
      </x:c>
      <x:c r="I205" s="3" t="n">
        <x:v>0.1</x:v>
      </x:c>
      <x:c r="J205" s="2" t="n">
        <x:v>650</x:v>
      </x:c>
      <x:c r="K205" s="2" t="n">
        <x:v>50</x:v>
      </x:c>
      <x:c r="L205" s="2" t="n">
        <x:f>G205*H205</x:f>
        <x:v>5200</x:v>
      </x:c>
      <x:c r="M205" s="2" t="n">
        <x:f>ROUND(L205*(1-I205),2)</x:f>
        <x:v>4680</x:v>
      </x:c>
      <x:c r="N205" s="2" t="n">
        <x:f>G205*J205</x:f>
        <x:v>2600</x:v>
      </x:c>
      <x:c r="O205" s="2" t="n">
        <x:f>M205-N205-K205</x:f>
        <x:v>2030</x:v>
      </x:c>
      <x:c r="P205" s="1" t="str">
        <x:f>TEXT(B205,"yyyy-mm")</x:f>
        <x:v>2025-06</x:v>
      </x:c>
    </x:row>
    <x:row r="206">
      <x:c r="A206" s="1" t="str">
        <x:v>ORD-0202</x:v>
      </x:c>
      <x:c r="B206" s="4" t="d">
        <x:v>2025-04-03T00:00:00.000Z</x:v>
      </x:c>
      <x:c r="C206" s="1" t="str">
        <x:v>C-152</x:v>
      </x:c>
      <x:c r="D206" s="1" t="str">
        <x:v>North</x:v>
      </x:c>
      <x:c r="E206" s="1" t="str">
        <x:v>Electronics</x:v>
      </x:c>
      <x:c r="F206" s="1" t="str">
        <x:v>Smartwatch</x:v>
      </x:c>
      <x:c r="G206" s="1" t="n">
        <x:v>1</x:v>
      </x:c>
      <x:c r="H206" s="2" t="n">
        <x:v>4200</x:v>
      </x:c>
      <x:c r="I206" s="3" t="n">
        <x:v>0.05</x:v>
      </x:c>
      <x:c r="J206" s="2" t="n">
        <x:v>3000</x:v>
      </x:c>
      <x:c r="K206" s="2" t="n">
        <x:v>120</x:v>
      </x:c>
      <x:c r="L206" s="2" t="n">
        <x:f>G206*H206</x:f>
        <x:v>4200</x:v>
      </x:c>
      <x:c r="M206" s="2" t="n">
        <x:f>ROUND(L206*(1-I206),2)</x:f>
        <x:v>3990</x:v>
      </x:c>
      <x:c r="N206" s="2" t="n">
        <x:f>G206*J206</x:f>
        <x:v>3000</x:v>
      </x:c>
      <x:c r="O206" s="2" t="n">
        <x:f>M206-N206-K206</x:f>
        <x:v>870</x:v>
      </x:c>
      <x:c r="P206" s="1" t="str">
        <x:f>TEXT(B206,"yyyy-mm")</x:f>
        <x:v>2025-04</x:v>
      </x:c>
    </x:row>
    <x:row r="207">
      <x:c r="A207" s="1" t="str">
        <x:v>ORD-0203</x:v>
      </x:c>
      <x:c r="B207" s="4" t="d">
        <x:v>2025-05-13T00:00:00.000Z</x:v>
      </x:c>
      <x:c r="C207" s="1" t="str">
        <x:v>C-079</x:v>
      </x:c>
      <x:c r="D207" s="1" t="str">
        <x:v>South</x:v>
      </x:c>
      <x:c r="E207" s="1" t="str">
        <x:v>Electronics</x:v>
      </x:c>
      <x:c r="F207" s="1" t="str">
        <x:v>Smartwatch</x:v>
      </x:c>
      <x:c r="G207" s="1" t="n">
        <x:v>2</x:v>
      </x:c>
      <x:c r="H207" s="2" t="n">
        <x:v>4200</x:v>
      </x:c>
      <x:c r="I207" s="3" t="n">
        <x:v>0.25</x:v>
      </x:c>
      <x:c r="J207" s="2" t="n">
        <x:v>3000</x:v>
      </x:c>
      <x:c r="K207" s="2" t="n">
        <x:v>120</x:v>
      </x:c>
      <x:c r="L207" s="2" t="n">
        <x:f>G207*H207</x:f>
        <x:v>8400</x:v>
      </x:c>
      <x:c r="M207" s="2" t="n">
        <x:f>ROUND(L207*(1-I207),2)</x:f>
        <x:v>6300</x:v>
      </x:c>
      <x:c r="N207" s="2" t="n">
        <x:f>G207*J207</x:f>
        <x:v>6000</x:v>
      </x:c>
      <x:c r="O207" s="2" t="n">
        <x:f>M207-N207-K207</x:f>
        <x:v>180</x:v>
      </x:c>
      <x:c r="P207" s="1" t="str">
        <x:f>TEXT(B207,"yyyy-mm")</x:f>
        <x:v>2025-05</x:v>
      </x:c>
    </x:row>
    <x:row r="208">
      <x:c r="A208" s="1" t="str">
        <x:v>ORD-0204</x:v>
      </x:c>
      <x:c r="B208" s="4" t="d">
        <x:v>2025-11-15T00:00:00.000Z</x:v>
      </x:c>
      <x:c r="C208" s="1" t="str">
        <x:v>C-023</x:v>
      </x:c>
      <x:c r="D208" s="1" t="str">
        <x:v>West</x:v>
      </x:c>
      <x:c r="E208" s="1" t="str">
        <x:v>Electronics</x:v>
      </x:c>
      <x:c r="F208" s="1" t="str">
        <x:v>Smartwatch</x:v>
      </x:c>
      <x:c r="G208" s="1" t="n">
        <x:v>3</x:v>
      </x:c>
      <x:c r="H208" s="2" t="n">
        <x:v>4200</x:v>
      </x:c>
      <x:c r="I208" s="3" t="n">
        <x:v>0.35</x:v>
      </x:c>
      <x:c r="J208" s="2" t="n">
        <x:v>3000</x:v>
      </x:c>
      <x:c r="K208" s="2" t="n">
        <x:v>120</x:v>
      </x:c>
      <x:c r="L208" s="2" t="n">
        <x:f>G208*H208</x:f>
        <x:v>12600</x:v>
      </x:c>
      <x:c r="M208" s="2" t="n">
        <x:f>ROUND(L208*(1-I208),2)</x:f>
        <x:v>8190</x:v>
      </x:c>
      <x:c r="N208" s="2" t="n">
        <x:f>G208*J208</x:f>
        <x:v>9000</x:v>
      </x:c>
      <x:c r="O208" s="2" t="n">
        <x:f>M208-N208-K208</x:f>
        <x:v>-930</x:v>
      </x:c>
      <x:c r="P208" s="1" t="str">
        <x:f>TEXT(B208,"yyyy-mm")</x:f>
        <x:v>2025-11</x:v>
      </x:c>
    </x:row>
    <x:row r="209">
      <x:c r="A209" s="1" t="str">
        <x:v>ORD-0205</x:v>
      </x:c>
      <x:c r="B209" s="4" t="d">
        <x:v>2025-10-10T00:00:00.000Z</x:v>
      </x:c>
      <x:c r="C209" s="1" t="str">
        <x:v>C-230</x:v>
      </x:c>
      <x:c r="D209" s="1" t="str">
        <x:v>South</x:v>
      </x:c>
      <x:c r="E209" s="1" t="str">
        <x:v>Home</x:v>
      </x:c>
      <x:c r="F209" s="1" t="str">
        <x:v>Desk lamp</x:v>
      </x:c>
      <x:c r="G209" s="1" t="n">
        <x:v>2</x:v>
      </x:c>
      <x:c r="H209" s="2" t="n">
        <x:v>1100</x:v>
      </x:c>
      <x:c r="I209" s="3" t="n">
        <x:v>0.25</x:v>
      </x:c>
      <x:c r="J209" s="2" t="n">
        <x:v>650</x:v>
      </x:c>
      <x:c r="K209" s="2" t="n">
        <x:v>80</x:v>
      </x:c>
      <x:c r="L209" s="2" t="n">
        <x:f>G209*H209</x:f>
        <x:v>2200</x:v>
      </x:c>
      <x:c r="M209" s="2" t="n">
        <x:f>ROUND(L209*(1-I209),2)</x:f>
        <x:v>1650</x:v>
      </x:c>
      <x:c r="N209" s="2" t="n">
        <x:f>G209*J209</x:f>
        <x:v>1300</x:v>
      </x:c>
      <x:c r="O209" s="2" t="n">
        <x:f>M209-N209-K209</x:f>
        <x:v>270</x:v>
      </x:c>
      <x:c r="P209" s="1" t="str">
        <x:f>TEXT(B209,"yyyy-mm")</x:f>
        <x:v>2025-10</x:v>
      </x:c>
    </x:row>
    <x:row r="210">
      <x:c r="A210" s="1" t="str">
        <x:v>ORD-0206</x:v>
      </x:c>
      <x:c r="B210" s="4" t="d">
        <x:v>2025-12-12T00:00:00.000Z</x:v>
      </x:c>
      <x:c r="C210" s="1" t="str">
        <x:v>C-293</x:v>
      </x:c>
      <x:c r="D210" s="1" t="str">
        <x:v>West</x:v>
      </x:c>
      <x:c r="E210" s="1" t="str">
        <x:v>Home</x:v>
      </x:c>
      <x:c r="F210" s="1" t="str">
        <x:v>Desk lamp</x:v>
      </x:c>
      <x:c r="G210" s="1" t="n">
        <x:v>4</x:v>
      </x:c>
      <x:c r="H210" s="2" t="n">
        <x:v>1100</x:v>
      </x:c>
      <x:c r="I210" s="3" t="n">
        <x:v>0.05</x:v>
      </x:c>
      <x:c r="J210" s="2" t="n">
        <x:v>650</x:v>
      </x:c>
      <x:c r="K210" s="2" t="n">
        <x:v>80</x:v>
      </x:c>
      <x:c r="L210" s="2" t="n">
        <x:f>G210*H210</x:f>
        <x:v>4400</x:v>
      </x:c>
      <x:c r="M210" s="2" t="n">
        <x:f>ROUND(L210*(1-I210),2)</x:f>
        <x:v>4180</x:v>
      </x:c>
      <x:c r="N210" s="2" t="n">
        <x:f>G210*J210</x:f>
        <x:v>2600</x:v>
      </x:c>
      <x:c r="O210" s="2" t="n">
        <x:f>M210-N210-K210</x:f>
        <x:v>1500</x:v>
      </x:c>
      <x:c r="P210" s="1" t="str">
        <x:f>TEXT(B210,"yyyy-mm")</x:f>
        <x:v>2025-12</x:v>
      </x:c>
    </x:row>
    <x:row r="211">
      <x:c r="A211" s="1" t="str">
        <x:v>ORD-0207</x:v>
      </x:c>
      <x:c r="B211" s="4" t="d">
        <x:v>2025-11-14T00:00:00.000Z</x:v>
      </x:c>
      <x:c r="C211" s="1" t="str">
        <x:v>C-083</x:v>
      </x:c>
      <x:c r="D211" s="1" t="str">
        <x:v>South</x:v>
      </x:c>
      <x:c r="E211" s="1" t="str">
        <x:v>Home</x:v>
      </x:c>
      <x:c r="F211" s="1" t="str">
        <x:v>Storage box</x:v>
      </x:c>
      <x:c r="G211" s="1" t="n">
        <x:v>2</x:v>
      </x:c>
      <x:c r="H211" s="2" t="n">
        <x:v>800</x:v>
      </x:c>
      <x:c r="I211" s="3" t="n">
        <x:v>0.25</x:v>
      </x:c>
      <x:c r="J211" s="2" t="n">
        <x:v>420</x:v>
      </x:c>
      <x:c r="K211" s="2" t="n">
        <x:v>80</x:v>
      </x:c>
      <x:c r="L211" s="2" t="n">
        <x:f>G211*H211</x:f>
        <x:v>1600</x:v>
      </x:c>
      <x:c r="M211" s="2" t="n">
        <x:f>ROUND(L211*(1-I211),2)</x:f>
        <x:v>1200</x:v>
      </x:c>
      <x:c r="N211" s="2" t="n">
        <x:f>G211*J211</x:f>
        <x:v>840</x:v>
      </x:c>
      <x:c r="O211" s="2" t="n">
        <x:f>M211-N211-K211</x:f>
        <x:v>280</x:v>
      </x:c>
      <x:c r="P211" s="1" t="str">
        <x:f>TEXT(B211,"yyyy-mm")</x:f>
        <x:v>2025-11</x:v>
      </x:c>
    </x:row>
    <x:row r="212">
      <x:c r="A212" s="1" t="str">
        <x:v>ORD-0208</x:v>
      </x:c>
      <x:c r="B212" s="4" t="d">
        <x:v>2025-01-18T00:00:00.000Z</x:v>
      </x:c>
      <x:c r="C212" s="1" t="str">
        <x:v>C-053</x:v>
      </x:c>
      <x:c r="D212" s="1" t="str">
        <x:v>North</x:v>
      </x:c>
      <x:c r="E212" s="1" t="str">
        <x:v>Home</x:v>
      </x:c>
      <x:c r="F212" s="1" t="str">
        <x:v>Desk lamp</x:v>
      </x:c>
      <x:c r="G212" s="1" t="n">
        <x:v>3</x:v>
      </x:c>
      <x:c r="H212" s="2" t="n">
        <x:v>1100</x:v>
      </x:c>
      <x:c r="I212" s="3" t="n">
        <x:v>0.1</x:v>
      </x:c>
      <x:c r="J212" s="2" t="n">
        <x:v>650</x:v>
      </x:c>
      <x:c r="K212" s="2" t="n">
        <x:v>50</x:v>
      </x:c>
      <x:c r="L212" s="2" t="n">
        <x:f>G212*H212</x:f>
        <x:v>3300</x:v>
      </x:c>
      <x:c r="M212" s="2" t="n">
        <x:f>ROUND(L212*(1-I212),2)</x:f>
        <x:v>2970</x:v>
      </x:c>
      <x:c r="N212" s="2" t="n">
        <x:f>G212*J212</x:f>
        <x:v>1950</x:v>
      </x:c>
      <x:c r="O212" s="2" t="n">
        <x:f>M212-N212-K212</x:f>
        <x:v>970</x:v>
      </x:c>
      <x:c r="P212" s="1" t="str">
        <x:f>TEXT(B212,"yyyy-mm")</x:f>
        <x:v>2025-01</x:v>
      </x:c>
    </x:row>
    <x:row r="213">
      <x:c r="A213" s="1" t="str">
        <x:v>ORD-0209</x:v>
      </x:c>
      <x:c r="B213" s="4" t="d">
        <x:v>2025-10-29T00:00:00.000Z</x:v>
      </x:c>
      <x:c r="C213" s="1" t="str">
        <x:v>C-263</x:v>
      </x:c>
      <x:c r="D213" s="1" t="str">
        <x:v>South</x:v>
      </x:c>
      <x:c r="E213" s="1" t="str">
        <x:v>Fashion</x:v>
      </x:c>
      <x:c r="F213" s="1" t="str">
        <x:v>Sneakers</x:v>
      </x:c>
      <x:c r="G213" s="1" t="n">
        <x:v>4</x:v>
      </x:c>
      <x:c r="H213" s="2" t="n">
        <x:v>2400</x:v>
      </x:c>
      <x:c r="I213" s="3" t="n">
        <x:v>0.15</x:v>
      </x:c>
      <x:c r="J213" s="2" t="n">
        <x:v>1200</x:v>
      </x:c>
      <x:c r="K213" s="2" t="n">
        <x:v>50</x:v>
      </x:c>
      <x:c r="L213" s="2" t="n">
        <x:f>G213*H213</x:f>
        <x:v>9600</x:v>
      </x:c>
      <x:c r="M213" s="2" t="n">
        <x:f>ROUND(L213*(1-I213),2)</x:f>
        <x:v>8160</x:v>
      </x:c>
      <x:c r="N213" s="2" t="n">
        <x:f>G213*J213</x:f>
        <x:v>4800</x:v>
      </x:c>
      <x:c r="O213" s="2" t="n">
        <x:f>M213-N213-K213</x:f>
        <x:v>3310</x:v>
      </x:c>
      <x:c r="P213" s="1" t="str">
        <x:f>TEXT(B213,"yyyy-mm")</x:f>
        <x:v>2025-10</x:v>
      </x:c>
    </x:row>
    <x:row r="214">
      <x:c r="A214" s="1" t="str">
        <x:v>ORD-0210</x:v>
      </x:c>
      <x:c r="B214" s="4" t="d">
        <x:v>2025-12-29T00:00:00.000Z</x:v>
      </x:c>
      <x:c r="C214" s="1" t="str">
        <x:v>C-179</x:v>
      </x:c>
      <x:c r="D214" s="1" t="str">
        <x:v>North</x:v>
      </x:c>
      <x:c r="E214" s="1" t="str">
        <x:v>Fashion</x:v>
      </x:c>
      <x:c r="F214" s="1" t="str">
        <x:v>T-shirt</x:v>
      </x:c>
      <x:c r="G214" s="1" t="n">
        <x:v>4</x:v>
      </x:c>
      <x:c r="H214" s="2" t="n">
        <x:v>700</x:v>
      </x:c>
      <x:c r="I214" s="3" t="n">
        <x:v>0.15</x:v>
      </x:c>
      <x:c r="J214" s="2" t="n">
        <x:v>300</x:v>
      </x:c>
      <x:c r="K214" s="2" t="n">
        <x:v>50</x:v>
      </x:c>
      <x:c r="L214" s="2" t="n">
        <x:f>G214*H214</x:f>
        <x:v>2800</x:v>
      </x:c>
      <x:c r="M214" s="2" t="n">
        <x:f>ROUND(L214*(1-I214),2)</x:f>
        <x:v>2380</x:v>
      </x:c>
      <x:c r="N214" s="2" t="n">
        <x:f>G214*J214</x:f>
        <x:v>1200</x:v>
      </x:c>
      <x:c r="O214" s="2" t="n">
        <x:f>M214-N214-K214</x:f>
        <x:v>1130</x:v>
      </x:c>
      <x:c r="P214" s="1" t="str">
        <x:f>TEXT(B214,"yyyy-mm")</x:f>
        <x:v>2025-12</x:v>
      </x:c>
    </x:row>
    <x:row r="215">
      <x:c r="A215" s="1" t="str">
        <x:v>ORD-0211</x:v>
      </x:c>
      <x:c r="B215" s="4" t="d">
        <x:v>2025-06-13T00:00:00.000Z</x:v>
      </x:c>
      <x:c r="C215" s="1" t="str">
        <x:v>C-042</x:v>
      </x:c>
      <x:c r="D215" s="1" t="str">
        <x:v>East</x:v>
      </x:c>
      <x:c r="E215" s="1" t="str">
        <x:v>Fashion</x:v>
      </x:c>
      <x:c r="F215" s="1" t="str">
        <x:v>Backpack</x:v>
      </x:c>
      <x:c r="G215" s="1" t="n">
        <x:v>2</x:v>
      </x:c>
      <x:c r="H215" s="2" t="n">
        <x:v>1300</x:v>
      </x:c>
      <x:c r="I215" s="3" t="n">
        <x:v>0.05</x:v>
      </x:c>
      <x:c r="J215" s="2" t="n">
        <x:v>650</x:v>
      </x:c>
      <x:c r="K215" s="2" t="n">
        <x:v>50</x:v>
      </x:c>
      <x:c r="L215" s="2" t="n">
        <x:f>G215*H215</x:f>
        <x:v>2600</x:v>
      </x:c>
      <x:c r="M215" s="2" t="n">
        <x:f>ROUND(L215*(1-I215),2)</x:f>
        <x:v>2470</x:v>
      </x:c>
      <x:c r="N215" s="2" t="n">
        <x:f>G215*J215</x:f>
        <x:v>1300</x:v>
      </x:c>
      <x:c r="O215" s="2" t="n">
        <x:f>M215-N215-K215</x:f>
        <x:v>1120</x:v>
      </x:c>
      <x:c r="P215" s="1" t="str">
        <x:f>TEXT(B215,"yyyy-mm")</x:f>
        <x:v>2025-06</x:v>
      </x:c>
    </x:row>
    <x:row r="216">
      <x:c r="A216" s="1" t="str">
        <x:v>ORD-0212</x:v>
      </x:c>
      <x:c r="B216" s="4" t="d">
        <x:v>2025-05-21T00:00:00.000Z</x:v>
      </x:c>
      <x:c r="C216" s="1" t="str">
        <x:v>C-172</x:v>
      </x:c>
      <x:c r="D216" s="1" t="str">
        <x:v>South</x:v>
      </x:c>
      <x:c r="E216" s="1" t="str">
        <x:v>Electronics</x:v>
      </x:c>
      <x:c r="F216" s="1" t="str">
        <x:v>Keyboard</x:v>
      </x:c>
      <x:c r="G216" s="1" t="n">
        <x:v>2</x:v>
      </x:c>
      <x:c r="H216" s="2" t="n">
        <x:v>1500</x:v>
      </x:c>
      <x:c r="I216" s="3" t="n">
        <x:v>0.35</x:v>
      </x:c>
      <x:c r="J216" s="2" t="n">
        <x:v>900</x:v>
      </x:c>
      <x:c r="K216" s="2" t="n">
        <x:v>50</x:v>
      </x:c>
      <x:c r="L216" s="2" t="n">
        <x:f>G216*H216</x:f>
        <x:v>3000</x:v>
      </x:c>
      <x:c r="M216" s="2" t="n">
        <x:f>ROUND(L216*(1-I216),2)</x:f>
        <x:v>1950</x:v>
      </x:c>
      <x:c r="N216" s="2" t="n">
        <x:f>G216*J216</x:f>
        <x:v>1800</x:v>
      </x:c>
      <x:c r="O216" s="2" t="n">
        <x:f>M216-N216-K216</x:f>
        <x:v>100</x:v>
      </x:c>
      <x:c r="P216" s="1" t="str">
        <x:f>TEXT(B216,"yyyy-mm")</x:f>
        <x:v>2025-05</x:v>
      </x:c>
    </x:row>
    <x:row r="217">
      <x:c r="A217" s="1" t="str">
        <x:v>ORD-0213</x:v>
      </x:c>
      <x:c r="B217" s="4" t="d">
        <x:v>2025-05-27T00:00:00.000Z</x:v>
      </x:c>
      <x:c r="C217" s="1" t="str">
        <x:v>C-072</x:v>
      </x:c>
      <x:c r="D217" s="1" t="str">
        <x:v>West</x:v>
      </x:c>
      <x:c r="E217" s="1" t="str">
        <x:v>Home</x:v>
      </x:c>
      <x:c r="F217" s="1" t="str">
        <x:v>Desk lamp</x:v>
      </x:c>
      <x:c r="G217" s="1" t="n">
        <x:v>4</x:v>
      </x:c>
      <x:c r="H217" s="2" t="n">
        <x:v>1100</x:v>
      </x:c>
      <x:c r="I217" s="3" t="n">
        <x:v>0.35</x:v>
      </x:c>
      <x:c r="J217" s="2" t="n">
        <x:v>650</x:v>
      </x:c>
      <x:c r="K217" s="2" t="n">
        <x:v>120</x:v>
      </x:c>
      <x:c r="L217" s="2" t="n">
        <x:f>G217*H217</x:f>
        <x:v>4400</x:v>
      </x:c>
      <x:c r="M217" s="2" t="n">
        <x:f>ROUND(L217*(1-I217),2)</x:f>
        <x:v>2860</x:v>
      </x:c>
      <x:c r="N217" s="2" t="n">
        <x:f>G217*J217</x:f>
        <x:v>2600</x:v>
      </x:c>
      <x:c r="O217" s="2" t="n">
        <x:f>M217-N217-K217</x:f>
        <x:v>140</x:v>
      </x:c>
      <x:c r="P217" s="1" t="str">
        <x:f>TEXT(B217,"yyyy-mm")</x:f>
        <x:v>2025-05</x:v>
      </x:c>
    </x:row>
    <x:row r="218">
      <x:c r="A218" s="1" t="str">
        <x:v>ORD-0214</x:v>
      </x:c>
      <x:c r="B218" s="4" t="d">
        <x:v>2025-01-09T00:00:00.000Z</x:v>
      </x:c>
      <x:c r="C218" s="1" t="str">
        <x:v>C-111</x:v>
      </x:c>
      <x:c r="D218" s="1" t="str">
        <x:v>South</x:v>
      </x:c>
      <x:c r="E218" s="1" t="str">
        <x:v>Electronics</x:v>
      </x:c>
      <x:c r="F218" s="1" t="str">
        <x:v>Keyboard</x:v>
      </x:c>
      <x:c r="G218" s="1" t="n">
        <x:v>4</x:v>
      </x:c>
      <x:c r="H218" s="2" t="n">
        <x:v>1500</x:v>
      </x:c>
      <x:c r="I218" s="3" t="n">
        <x:v>0</x:v>
      </x:c>
      <x:c r="J218" s="2" t="n">
        <x:v>900</x:v>
      </x:c>
      <x:c r="K218" s="2" t="n">
        <x:v>50</x:v>
      </x:c>
      <x:c r="L218" s="2" t="n">
        <x:f>G218*H218</x:f>
        <x:v>6000</x:v>
      </x:c>
      <x:c r="M218" s="2" t="n">
        <x:f>ROUND(L218*(1-I218),2)</x:f>
        <x:v>6000</x:v>
      </x:c>
      <x:c r="N218" s="2" t="n">
        <x:f>G218*J218</x:f>
        <x:v>3600</x:v>
      </x:c>
      <x:c r="O218" s="2" t="n">
        <x:f>M218-N218-K218</x:f>
        <x:v>2350</x:v>
      </x:c>
      <x:c r="P218" s="1" t="str">
        <x:f>TEXT(B218,"yyyy-mm")</x:f>
        <x:v>2025-01</x:v>
      </x:c>
    </x:row>
    <x:row r="219">
      <x:c r="A219" s="1" t="str">
        <x:v>ORD-0215</x:v>
      </x:c>
      <x:c r="B219" s="4" t="d">
        <x:v>2025-11-04T00:00:00.000Z</x:v>
      </x:c>
      <x:c r="C219" s="1" t="str">
        <x:v>C-025</x:v>
      </x:c>
      <x:c r="D219" s="1" t="str">
        <x:v>South</x:v>
      </x:c>
      <x:c r="E219" s="1" t="str">
        <x:v>Fashion</x:v>
      </x:c>
      <x:c r="F219" s="1" t="str">
        <x:v>T-shirt</x:v>
      </x:c>
      <x:c r="G219" s="1" t="n">
        <x:v>4</x:v>
      </x:c>
      <x:c r="H219" s="2" t="n">
        <x:v>700</x:v>
      </x:c>
      <x:c r="I219" s="3" t="n">
        <x:v>0.1</x:v>
      </x:c>
      <x:c r="J219" s="2" t="n">
        <x:v>300</x:v>
      </x:c>
      <x:c r="K219" s="2" t="n">
        <x:v>120</x:v>
      </x:c>
      <x:c r="L219" s="2" t="n">
        <x:f>G219*H219</x:f>
        <x:v>2800</x:v>
      </x:c>
      <x:c r="M219" s="2" t="n">
        <x:f>ROUND(L219*(1-I219),2)</x:f>
        <x:v>2520</x:v>
      </x:c>
      <x:c r="N219" s="2" t="n">
        <x:f>G219*J219</x:f>
        <x:v>1200</x:v>
      </x:c>
      <x:c r="O219" s="2" t="n">
        <x:f>M219-N219-K219</x:f>
        <x:v>1200</x:v>
      </x:c>
      <x:c r="P219" s="1" t="str">
        <x:f>TEXT(B219,"yyyy-mm")</x:f>
        <x:v>2025-11</x:v>
      </x:c>
    </x:row>
    <x:row r="220">
      <x:c r="A220" s="1" t="str">
        <x:v>ORD-0216</x:v>
      </x:c>
      <x:c r="B220" s="4" t="d">
        <x:v>2025-11-04T00:00:00.000Z</x:v>
      </x:c>
      <x:c r="C220" s="1" t="str">
        <x:v>C-256</x:v>
      </x:c>
      <x:c r="D220" s="1" t="str">
        <x:v>North</x:v>
      </x:c>
      <x:c r="E220" s="1" t="str">
        <x:v>Home</x:v>
      </x:c>
      <x:c r="F220" s="1" t="str">
        <x:v>Desk lamp</x:v>
      </x:c>
      <x:c r="G220" s="1" t="n">
        <x:v>2</x:v>
      </x:c>
      <x:c r="H220" s="2" t="n">
        <x:v>1100</x:v>
      </x:c>
      <x:c r="I220" s="3" t="n">
        <x:v>0</x:v>
      </x:c>
      <x:c r="J220" s="2" t="n">
        <x:v>650</x:v>
      </x:c>
      <x:c r="K220" s="2" t="n">
        <x:v>120</x:v>
      </x:c>
      <x:c r="L220" s="2" t="n">
        <x:f>G220*H220</x:f>
        <x:v>2200</x:v>
      </x:c>
      <x:c r="M220" s="2" t="n">
        <x:f>ROUND(L220*(1-I220),2)</x:f>
        <x:v>2200</x:v>
      </x:c>
      <x:c r="N220" s="2" t="n">
        <x:f>G220*J220</x:f>
        <x:v>1300</x:v>
      </x:c>
      <x:c r="O220" s="2" t="n">
        <x:f>M220-N220-K220</x:f>
        <x:v>780</x:v>
      </x:c>
      <x:c r="P220" s="1" t="str">
        <x:f>TEXT(B220,"yyyy-mm")</x:f>
        <x:v>2025-11</x:v>
      </x:c>
    </x:row>
    <x:row r="221">
      <x:c r="A221" s="1" t="str">
        <x:v>ORD-0217</x:v>
      </x:c>
      <x:c r="B221" s="4" t="d">
        <x:v>2025-03-20T00:00:00.000Z</x:v>
      </x:c>
      <x:c r="C221" s="1" t="str">
        <x:v>C-181</x:v>
      </x:c>
      <x:c r="D221" s="1" t="str">
        <x:v>South</x:v>
      </x:c>
      <x:c r="E221" s="1" t="str">
        <x:v>Home</x:v>
      </x:c>
      <x:c r="F221" s="1" t="str">
        <x:v>Office chair</x:v>
      </x:c>
      <x:c r="G221" s="1" t="n">
        <x:v>4</x:v>
      </x:c>
      <x:c r="H221" s="2" t="n">
        <x:v>5500</x:v>
      </x:c>
      <x:c r="I221" s="3" t="n">
        <x:v>0</x:v>
      </x:c>
      <x:c r="J221" s="2" t="n">
        <x:v>4400</x:v>
      </x:c>
      <x:c r="K221" s="2" t="n">
        <x:v>50</x:v>
      </x:c>
      <x:c r="L221" s="2" t="n">
        <x:f>G221*H221</x:f>
        <x:v>22000</x:v>
      </x:c>
      <x:c r="M221" s="2" t="n">
        <x:f>ROUND(L221*(1-I221),2)</x:f>
        <x:v>22000</x:v>
      </x:c>
      <x:c r="N221" s="2" t="n">
        <x:f>G221*J221</x:f>
        <x:v>17600</x:v>
      </x:c>
      <x:c r="O221" s="2" t="n">
        <x:f>M221-N221-K221</x:f>
        <x:v>4350</x:v>
      </x:c>
      <x:c r="P221" s="1" t="str">
        <x:f>TEXT(B221,"yyyy-mm")</x:f>
        <x:v>2025-03</x:v>
      </x:c>
    </x:row>
    <x:row r="222">
      <x:c r="A222" s="1" t="str">
        <x:v>ORD-0218</x:v>
      </x:c>
      <x:c r="B222" s="4" t="d">
        <x:v>2025-10-12T00:00:00.000Z</x:v>
      </x:c>
      <x:c r="C222" s="1" t="str">
        <x:v>C-035</x:v>
      </x:c>
      <x:c r="D222" s="1" t="str">
        <x:v>North</x:v>
      </x:c>
      <x:c r="E222" s="1" t="str">
        <x:v>Electronics</x:v>
      </x:c>
      <x:c r="F222" s="1" t="str">
        <x:v>Keyboard</x:v>
      </x:c>
      <x:c r="G222" s="1" t="n">
        <x:v>4</x:v>
      </x:c>
      <x:c r="H222" s="2" t="n">
        <x:v>1500</x:v>
      </x:c>
      <x:c r="I222" s="3" t="n">
        <x:v>0.25</x:v>
      </x:c>
      <x:c r="J222" s="2" t="n">
        <x:v>900</x:v>
      </x:c>
      <x:c r="K222" s="2" t="n">
        <x:v>80</x:v>
      </x:c>
      <x:c r="L222" s="2" t="n">
        <x:f>G222*H222</x:f>
        <x:v>6000</x:v>
      </x:c>
      <x:c r="M222" s="2" t="n">
        <x:f>ROUND(L222*(1-I222),2)</x:f>
        <x:v>4500</x:v>
      </x:c>
      <x:c r="N222" s="2" t="n">
        <x:f>G222*J222</x:f>
        <x:v>3600</x:v>
      </x:c>
      <x:c r="O222" s="2" t="n">
        <x:f>M222-N222-K222</x:f>
        <x:v>820</x:v>
      </x:c>
      <x:c r="P222" s="1" t="str">
        <x:f>TEXT(B222,"yyyy-mm")</x:f>
        <x:v>2025-10</x:v>
      </x:c>
    </x:row>
    <x:row r="223">
      <x:c r="A223" s="1" t="str">
        <x:v>ORD-0219</x:v>
      </x:c>
      <x:c r="B223" s="4" t="d">
        <x:v>2025-01-09T00:00:00.000Z</x:v>
      </x:c>
      <x:c r="C223" s="1" t="str">
        <x:v>C-009</x:v>
      </x:c>
      <x:c r="D223" s="1" t="str">
        <x:v>East</x:v>
      </x:c>
      <x:c r="E223" s="1" t="str">
        <x:v>Home</x:v>
      </x:c>
      <x:c r="F223" s="1" t="str">
        <x:v>Office chair</x:v>
      </x:c>
      <x:c r="G223" s="1" t="n">
        <x:v>1</x:v>
      </x:c>
      <x:c r="H223" s="2" t="n">
        <x:v>5500</x:v>
      </x:c>
      <x:c r="I223" s="3" t="n">
        <x:v>0.1</x:v>
      </x:c>
      <x:c r="J223" s="2" t="n">
        <x:v>4400</x:v>
      </x:c>
      <x:c r="K223" s="2" t="n">
        <x:v>80</x:v>
      </x:c>
      <x:c r="L223" s="2" t="n">
        <x:f>G223*H223</x:f>
        <x:v>5500</x:v>
      </x:c>
      <x:c r="M223" s="2" t="n">
        <x:f>ROUND(L223*(1-I223),2)</x:f>
        <x:v>4950</x:v>
      </x:c>
      <x:c r="N223" s="2" t="n">
        <x:f>G223*J223</x:f>
        <x:v>4400</x:v>
      </x:c>
      <x:c r="O223" s="2" t="n">
        <x:f>M223-N223-K223</x:f>
        <x:v>470</x:v>
      </x:c>
      <x:c r="P223" s="1" t="str">
        <x:f>TEXT(B223,"yyyy-mm")</x:f>
        <x:v>2025-01</x:v>
      </x:c>
    </x:row>
    <x:row r="224">
      <x:c r="A224" s="1" t="str">
        <x:v>ORD-0220</x:v>
      </x:c>
      <x:c r="B224" s="4" t="d">
        <x:v>2025-04-24T00:00:00.000Z</x:v>
      </x:c>
      <x:c r="C224" s="1" t="str">
        <x:v>C-171</x:v>
      </x:c>
      <x:c r="D224" s="1" t="str">
        <x:v>South</x:v>
      </x:c>
      <x:c r="E224" s="1" t="str">
        <x:v>Electronics</x:v>
      </x:c>
      <x:c r="F224" s="1" t="str">
        <x:v>Keyboard</x:v>
      </x:c>
      <x:c r="G224" s="1" t="n">
        <x:v>1</x:v>
      </x:c>
      <x:c r="H224" s="2" t="n">
        <x:v>1500</x:v>
      </x:c>
      <x:c r="I224" s="3" t="n">
        <x:v>0.25</x:v>
      </x:c>
      <x:c r="J224" s="2" t="n">
        <x:v>900</x:v>
      </x:c>
      <x:c r="K224" s="2" t="n">
        <x:v>80</x:v>
      </x:c>
      <x:c r="L224" s="2" t="n">
        <x:f>G224*H224</x:f>
        <x:v>1500</x:v>
      </x:c>
      <x:c r="M224" s="2" t="n">
        <x:f>ROUND(L224*(1-I224),2)</x:f>
        <x:v>1125</x:v>
      </x:c>
      <x:c r="N224" s="2" t="n">
        <x:f>G224*J224</x:f>
        <x:v>900</x:v>
      </x:c>
      <x:c r="O224" s="2" t="n">
        <x:f>M224-N224-K224</x:f>
        <x:v>145</x:v>
      </x:c>
      <x:c r="P224" s="1" t="str">
        <x:f>TEXT(B224,"yyyy-mm")</x:f>
        <x:v>2025-04</x:v>
      </x:c>
    </x:row>
    <x:row r="225">
      <x:c r="A225" s="1" t="str">
        <x:v>ORD-0221</x:v>
      </x:c>
      <x:c r="B225" s="4" t="d">
        <x:v>2025-08-15T00:00:00.000Z</x:v>
      </x:c>
      <x:c r="C225" s="1" t="str">
        <x:v>C-246</x:v>
      </x:c>
      <x:c r="D225" s="1" t="str">
        <x:v>South</x:v>
      </x:c>
      <x:c r="E225" s="1" t="str">
        <x:v>Electronics</x:v>
      </x:c>
      <x:c r="F225" s="1" t="str">
        <x:v>Smartwatch</x:v>
      </x:c>
      <x:c r="G225" s="1" t="n">
        <x:v>2</x:v>
      </x:c>
      <x:c r="H225" s="2" t="n">
        <x:v>4200</x:v>
      </x:c>
      <x:c r="I225" s="3" t="n">
        <x:v>0.35</x:v>
      </x:c>
      <x:c r="J225" s="2" t="n">
        <x:v>3000</x:v>
      </x:c>
      <x:c r="K225" s="2" t="n">
        <x:v>50</x:v>
      </x:c>
      <x:c r="L225" s="2" t="n">
        <x:f>G225*H225</x:f>
        <x:v>8400</x:v>
      </x:c>
      <x:c r="M225" s="2" t="n">
        <x:f>ROUND(L225*(1-I225),2)</x:f>
        <x:v>5460</x:v>
      </x:c>
      <x:c r="N225" s="2" t="n">
        <x:f>G225*J225</x:f>
        <x:v>6000</x:v>
      </x:c>
      <x:c r="O225" s="2" t="n">
        <x:f>M225-N225-K225</x:f>
        <x:v>-590</x:v>
      </x:c>
      <x:c r="P225" s="1" t="str">
        <x:f>TEXT(B225,"yyyy-mm")</x:f>
        <x:v>2025-08</x:v>
      </x:c>
    </x:row>
    <x:row r="226">
      <x:c r="A226" s="1" t="str">
        <x:v>ORD-0222</x:v>
      </x:c>
      <x:c r="B226" s="4" t="d">
        <x:v>2025-10-10T00:00:00.000Z</x:v>
      </x:c>
      <x:c r="C226" s="1" t="str">
        <x:v>C-104</x:v>
      </x:c>
      <x:c r="D226" s="1" t="str">
        <x:v>North</x:v>
      </x:c>
      <x:c r="E226" s="1" t="str">
        <x:v>Home</x:v>
      </x:c>
      <x:c r="F226" s="1" t="str">
        <x:v>Desk lamp</x:v>
      </x:c>
      <x:c r="G226" s="1" t="n">
        <x:v>2</x:v>
      </x:c>
      <x:c r="H226" s="2" t="n">
        <x:v>1100</x:v>
      </x:c>
      <x:c r="I226" s="3" t="n">
        <x:v>0</x:v>
      </x:c>
      <x:c r="J226" s="2" t="n">
        <x:v>650</x:v>
      </x:c>
      <x:c r="K226" s="2" t="n">
        <x:v>50</x:v>
      </x:c>
      <x:c r="L226" s="2" t="n">
        <x:f>G226*H226</x:f>
        <x:v>2200</x:v>
      </x:c>
      <x:c r="M226" s="2" t="n">
        <x:f>ROUND(L226*(1-I226),2)</x:f>
        <x:v>2200</x:v>
      </x:c>
      <x:c r="N226" s="2" t="n">
        <x:f>G226*J226</x:f>
        <x:v>1300</x:v>
      </x:c>
      <x:c r="O226" s="2" t="n">
        <x:f>M226-N226-K226</x:f>
        <x:v>850</x:v>
      </x:c>
      <x:c r="P226" s="1" t="str">
        <x:f>TEXT(B226,"yyyy-mm")</x:f>
        <x:v>2025-10</x:v>
      </x:c>
    </x:row>
    <x:row r="227">
      <x:c r="A227" s="1" t="str">
        <x:v>ORD-0223</x:v>
      </x:c>
      <x:c r="B227" s="4" t="d">
        <x:v>2025-05-13T00:00:00.000Z</x:v>
      </x:c>
      <x:c r="C227" s="1" t="str">
        <x:v>C-279</x:v>
      </x:c>
      <x:c r="D227" s="1" t="str">
        <x:v>West</x:v>
      </x:c>
      <x:c r="E227" s="1" t="str">
        <x:v>Fashion</x:v>
      </x:c>
      <x:c r="F227" s="1" t="str">
        <x:v>Sneakers</x:v>
      </x:c>
      <x:c r="G227" s="1" t="n">
        <x:v>3</x:v>
      </x:c>
      <x:c r="H227" s="2" t="n">
        <x:v>2400</x:v>
      </x:c>
      <x:c r="I227" s="3" t="n">
        <x:v>0.25</x:v>
      </x:c>
      <x:c r="J227" s="2" t="n">
        <x:v>1200</x:v>
      </x:c>
      <x:c r="K227" s="2" t="n">
        <x:v>50</x:v>
      </x:c>
      <x:c r="L227" s="2" t="n">
        <x:f>G227*H227</x:f>
        <x:v>7200</x:v>
      </x:c>
      <x:c r="M227" s="2" t="n">
        <x:f>ROUND(L227*(1-I227),2)</x:f>
        <x:v>5400</x:v>
      </x:c>
      <x:c r="N227" s="2" t="n">
        <x:f>G227*J227</x:f>
        <x:v>3600</x:v>
      </x:c>
      <x:c r="O227" s="2" t="n">
        <x:f>M227-N227-K227</x:f>
        <x:v>1750</x:v>
      </x:c>
      <x:c r="P227" s="1" t="str">
        <x:f>TEXT(B227,"yyyy-mm")</x:f>
        <x:v>2025-05</x:v>
      </x:c>
    </x:row>
    <x:row r="228">
      <x:c r="A228" s="1" t="str">
        <x:v>ORD-0224</x:v>
      </x:c>
      <x:c r="B228" s="4" t="d">
        <x:v>2025-10-12T00:00:00.000Z</x:v>
      </x:c>
      <x:c r="C228" s="1" t="str">
        <x:v>C-025</x:v>
      </x:c>
      <x:c r="D228" s="1" t="str">
        <x:v>East</x:v>
      </x:c>
      <x:c r="E228" s="1" t="str">
        <x:v>Fashion</x:v>
      </x:c>
      <x:c r="F228" s="1" t="str">
        <x:v>T-shirt</x:v>
      </x:c>
      <x:c r="G228" s="1" t="n">
        <x:v>3</x:v>
      </x:c>
      <x:c r="H228" s="2" t="n">
        <x:v>700</x:v>
      </x:c>
      <x:c r="I228" s="3" t="n">
        <x:v>0.1</x:v>
      </x:c>
      <x:c r="J228" s="2" t="n">
        <x:v>300</x:v>
      </x:c>
      <x:c r="K228" s="2" t="n">
        <x:v>50</x:v>
      </x:c>
      <x:c r="L228" s="2" t="n">
        <x:f>G228*H228</x:f>
        <x:v>2100</x:v>
      </x:c>
      <x:c r="M228" s="2" t="n">
        <x:f>ROUND(L228*(1-I228),2)</x:f>
        <x:v>1890</x:v>
      </x:c>
      <x:c r="N228" s="2" t="n">
        <x:f>G228*J228</x:f>
        <x:v>900</x:v>
      </x:c>
      <x:c r="O228" s="2" t="n">
        <x:f>M228-N228-K228</x:f>
        <x:v>940</x:v>
      </x:c>
      <x:c r="P228" s="1" t="str">
        <x:f>TEXT(B228,"yyyy-mm")</x:f>
        <x:v>2025-10</x:v>
      </x:c>
    </x:row>
    <x:row r="229">
      <x:c r="A229" s="1" t="str">
        <x:v>ORD-0225</x:v>
      </x:c>
      <x:c r="B229" s="4" t="d">
        <x:v>2025-11-24T00:00:00.000Z</x:v>
      </x:c>
      <x:c r="C229" s="1" t="str">
        <x:v>C-226</x:v>
      </x:c>
      <x:c r="D229" s="1" t="str">
        <x:v>West</x:v>
      </x:c>
      <x:c r="E229" s="1" t="str">
        <x:v>Home</x:v>
      </x:c>
      <x:c r="F229" s="1" t="str">
        <x:v>Office chair</x:v>
      </x:c>
      <x:c r="G229" s="1" t="n">
        <x:v>3</x:v>
      </x:c>
      <x:c r="H229" s="2" t="n">
        <x:v>5500</x:v>
      </x:c>
      <x:c r="I229" s="3" t="n">
        <x:v>0.15</x:v>
      </x:c>
      <x:c r="J229" s="2" t="n">
        <x:v>4400</x:v>
      </x:c>
      <x:c r="K229" s="2" t="n">
        <x:v>50</x:v>
      </x:c>
      <x:c r="L229" s="2" t="n">
        <x:f>G229*H229</x:f>
        <x:v>16500</x:v>
      </x:c>
      <x:c r="M229" s="2" t="n">
        <x:f>ROUND(L229*(1-I229),2)</x:f>
        <x:v>14025</x:v>
      </x:c>
      <x:c r="N229" s="2" t="n">
        <x:f>G229*J229</x:f>
        <x:v>13200</x:v>
      </x:c>
      <x:c r="O229" s="2" t="n">
        <x:f>M229-N229-K229</x:f>
        <x:v>775</x:v>
      </x:c>
      <x:c r="P229" s="1" t="str">
        <x:f>TEXT(B229,"yyyy-mm")</x:f>
        <x:v>2025-11</x:v>
      </x:c>
    </x:row>
    <x:row r="230">
      <x:c r="A230" s="1" t="str">
        <x:v>ORD-0226</x:v>
      </x:c>
      <x:c r="B230" s="4" t="d">
        <x:v>2025-08-30T00:00:00.000Z</x:v>
      </x:c>
      <x:c r="C230" s="1" t="str">
        <x:v>C-266</x:v>
      </x:c>
      <x:c r="D230" s="1" t="str">
        <x:v>East</x:v>
      </x:c>
      <x:c r="E230" s="1" t="str">
        <x:v>Home</x:v>
      </x:c>
      <x:c r="F230" s="1" t="str">
        <x:v>Desk lamp</x:v>
      </x:c>
      <x:c r="G230" s="1" t="n">
        <x:v>1</x:v>
      </x:c>
      <x:c r="H230" s="2" t="n">
        <x:v>1100</x:v>
      </x:c>
      <x:c r="I230" s="3" t="n">
        <x:v>0.1</x:v>
      </x:c>
      <x:c r="J230" s="2" t="n">
        <x:v>650</x:v>
      </x:c>
      <x:c r="K230" s="2" t="n">
        <x:v>120</x:v>
      </x:c>
      <x:c r="L230" s="2" t="n">
        <x:f>G230*H230</x:f>
        <x:v>1100</x:v>
      </x:c>
      <x:c r="M230" s="2" t="n">
        <x:f>ROUND(L230*(1-I230),2)</x:f>
        <x:v>990</x:v>
      </x:c>
      <x:c r="N230" s="2" t="n">
        <x:f>G230*J230</x:f>
        <x:v>650</x:v>
      </x:c>
      <x:c r="O230" s="2" t="n">
        <x:f>M230-N230-K230</x:f>
        <x:v>220</x:v>
      </x:c>
      <x:c r="P230" s="1" t="str">
        <x:f>TEXT(B230,"yyyy-mm")</x:f>
        <x:v>2025-08</x:v>
      </x:c>
    </x:row>
    <x:row r="231">
      <x:c r="A231" s="1" t="str">
        <x:v>ORD-0227</x:v>
      </x:c>
      <x:c r="B231" s="4" t="d">
        <x:v>2025-07-27T00:00:00.000Z</x:v>
      </x:c>
      <x:c r="C231" s="1" t="str">
        <x:v>C-093</x:v>
      </x:c>
      <x:c r="D231" s="1" t="str">
        <x:v>East</x:v>
      </x:c>
      <x:c r="E231" s="1" t="str">
        <x:v>Home</x:v>
      </x:c>
      <x:c r="F231" s="1" t="str">
        <x:v>Office chair</x:v>
      </x:c>
      <x:c r="G231" s="1" t="n">
        <x:v>3</x:v>
      </x:c>
      <x:c r="H231" s="2" t="n">
        <x:v>5500</x:v>
      </x:c>
      <x:c r="I231" s="3" t="n">
        <x:v>0.25</x:v>
      </x:c>
      <x:c r="J231" s="2" t="n">
        <x:v>4400</x:v>
      </x:c>
      <x:c r="K231" s="2" t="n">
        <x:v>50</x:v>
      </x:c>
      <x:c r="L231" s="2" t="n">
        <x:f>G231*H231</x:f>
        <x:v>16500</x:v>
      </x:c>
      <x:c r="M231" s="2" t="n">
        <x:f>ROUND(L231*(1-I231),2)</x:f>
        <x:v>12375</x:v>
      </x:c>
      <x:c r="N231" s="2" t="n">
        <x:f>G231*J231</x:f>
        <x:v>13200</x:v>
      </x:c>
      <x:c r="O231" s="2" t="n">
        <x:f>M231-N231-K231</x:f>
        <x:v>-875</x:v>
      </x:c>
      <x:c r="P231" s="1" t="str">
        <x:f>TEXT(B231,"yyyy-mm")</x:f>
        <x:v>2025-07</x:v>
      </x:c>
    </x:row>
    <x:row r="232">
      <x:c r="A232" s="1" t="str">
        <x:v>ORD-0228</x:v>
      </x:c>
      <x:c r="B232" s="4" t="d">
        <x:v>2025-02-15T00:00:00.000Z</x:v>
      </x:c>
      <x:c r="C232" s="1" t="str">
        <x:v>C-219</x:v>
      </x:c>
      <x:c r="D232" s="1" t="str">
        <x:v>South</x:v>
      </x:c>
      <x:c r="E232" s="1" t="str">
        <x:v>Fashion</x:v>
      </x:c>
      <x:c r="F232" s="1" t="str">
        <x:v>Sneakers</x:v>
      </x:c>
      <x:c r="G232" s="1" t="n">
        <x:v>4</x:v>
      </x:c>
      <x:c r="H232" s="2" t="n">
        <x:v>2400</x:v>
      </x:c>
      <x:c r="I232" s="3" t="n">
        <x:v>0.1</x:v>
      </x:c>
      <x:c r="J232" s="2" t="n">
        <x:v>1200</x:v>
      </x:c>
      <x:c r="K232" s="2" t="n">
        <x:v>80</x:v>
      </x:c>
      <x:c r="L232" s="2" t="n">
        <x:f>G232*H232</x:f>
        <x:v>9600</x:v>
      </x:c>
      <x:c r="M232" s="2" t="n">
        <x:f>ROUND(L232*(1-I232),2)</x:f>
        <x:v>8640</x:v>
      </x:c>
      <x:c r="N232" s="2" t="n">
        <x:f>G232*J232</x:f>
        <x:v>4800</x:v>
      </x:c>
      <x:c r="O232" s="2" t="n">
        <x:f>M232-N232-K232</x:f>
        <x:v>3760</x:v>
      </x:c>
      <x:c r="P232" s="1" t="str">
        <x:f>TEXT(B232,"yyyy-mm")</x:f>
        <x:v>2025-02</x:v>
      </x:c>
    </x:row>
    <x:row r="233">
      <x:c r="A233" s="1" t="str">
        <x:v>ORD-0229</x:v>
      </x:c>
      <x:c r="B233" s="4" t="d">
        <x:v>2025-07-14T00:00:00.000Z</x:v>
      </x:c>
      <x:c r="C233" s="1" t="str">
        <x:v>C-141</x:v>
      </x:c>
      <x:c r="D233" s="1" t="str">
        <x:v>North</x:v>
      </x:c>
      <x:c r="E233" s="1" t="str">
        <x:v>Fashion</x:v>
      </x:c>
      <x:c r="F233" s="1" t="str">
        <x:v>Backpack</x:v>
      </x:c>
      <x:c r="G233" s="1" t="n">
        <x:v>1</x:v>
      </x:c>
      <x:c r="H233" s="2" t="n">
        <x:v>1300</x:v>
      </x:c>
      <x:c r="I233" s="3" t="n">
        <x:v>0.25</x:v>
      </x:c>
      <x:c r="J233" s="2" t="n">
        <x:v>650</x:v>
      </x:c>
      <x:c r="K233" s="2" t="n">
        <x:v>120</x:v>
      </x:c>
      <x:c r="L233" s="2" t="n">
        <x:f>G233*H233</x:f>
        <x:v>1300</x:v>
      </x:c>
      <x:c r="M233" s="2" t="n">
        <x:f>ROUND(L233*(1-I233),2)</x:f>
        <x:v>975</x:v>
      </x:c>
      <x:c r="N233" s="2" t="n">
        <x:f>G233*J233</x:f>
        <x:v>650</x:v>
      </x:c>
      <x:c r="O233" s="2" t="n">
        <x:f>M233-N233-K233</x:f>
        <x:v>205</x:v>
      </x:c>
      <x:c r="P233" s="1" t="str">
        <x:f>TEXT(B233,"yyyy-mm")</x:f>
        <x:v>2025-07</x:v>
      </x:c>
    </x:row>
    <x:row r="234">
      <x:c r="A234" s="1" t="str">
        <x:v>ORD-0230</x:v>
      </x:c>
      <x:c r="B234" s="4" t="d">
        <x:v>2025-09-26T00:00:00.000Z</x:v>
      </x:c>
      <x:c r="C234" s="1" t="str">
        <x:v>C-082</x:v>
      </x:c>
      <x:c r="D234" s="1" t="str">
        <x:v>North</x:v>
      </x:c>
      <x:c r="E234" s="1" t="str">
        <x:v>Fashion</x:v>
      </x:c>
      <x:c r="F234" s="1" t="str">
        <x:v>Backpack</x:v>
      </x:c>
      <x:c r="G234" s="1" t="n">
        <x:v>2</x:v>
      </x:c>
      <x:c r="H234" s="2" t="n">
        <x:v>1300</x:v>
      </x:c>
      <x:c r="I234" s="3" t="n">
        <x:v>0.25</x:v>
      </x:c>
      <x:c r="J234" s="2" t="n">
        <x:v>650</x:v>
      </x:c>
      <x:c r="K234" s="2" t="n">
        <x:v>120</x:v>
      </x:c>
      <x:c r="L234" s="2" t="n">
        <x:f>G234*H234</x:f>
        <x:v>2600</x:v>
      </x:c>
      <x:c r="M234" s="2" t="n">
        <x:f>ROUND(L234*(1-I234),2)</x:f>
        <x:v>1950</x:v>
      </x:c>
      <x:c r="N234" s="2" t="n">
        <x:f>G234*J234</x:f>
        <x:v>1300</x:v>
      </x:c>
      <x:c r="O234" s="2" t="n">
        <x:f>M234-N234-K234</x:f>
        <x:v>530</x:v>
      </x:c>
      <x:c r="P234" s="1" t="str">
        <x:f>TEXT(B234,"yyyy-mm")</x:f>
        <x:v>2025-09</x:v>
      </x:c>
    </x:row>
    <x:row r="235">
      <x:c r="A235" s="1" t="str">
        <x:v>ORD-0231</x:v>
      </x:c>
      <x:c r="B235" s="4" t="d">
        <x:v>2025-10-05T00:00:00.000Z</x:v>
      </x:c>
      <x:c r="C235" s="1" t="str">
        <x:v>C-035</x:v>
      </x:c>
      <x:c r="D235" s="1" t="str">
        <x:v>South</x:v>
      </x:c>
      <x:c r="E235" s="1" t="str">
        <x:v>Home</x:v>
      </x:c>
      <x:c r="F235" s="1" t="str">
        <x:v>Desk lamp</x:v>
      </x:c>
      <x:c r="G235" s="1" t="n">
        <x:v>3</x:v>
      </x:c>
      <x:c r="H235" s="2" t="n">
        <x:v>1100</x:v>
      </x:c>
      <x:c r="I235" s="3" t="n">
        <x:v>0</x:v>
      </x:c>
      <x:c r="J235" s="2" t="n">
        <x:v>650</x:v>
      </x:c>
      <x:c r="K235" s="2" t="n">
        <x:v>80</x:v>
      </x:c>
      <x:c r="L235" s="2" t="n">
        <x:f>G235*H235</x:f>
        <x:v>3300</x:v>
      </x:c>
      <x:c r="M235" s="2" t="n">
        <x:f>ROUND(L235*(1-I235),2)</x:f>
        <x:v>3300</x:v>
      </x:c>
      <x:c r="N235" s="2" t="n">
        <x:f>G235*J235</x:f>
        <x:v>1950</x:v>
      </x:c>
      <x:c r="O235" s="2" t="n">
        <x:f>M235-N235-K235</x:f>
        <x:v>1270</x:v>
      </x:c>
      <x:c r="P235" s="1" t="str">
        <x:f>TEXT(B235,"yyyy-mm")</x:f>
        <x:v>2025-10</x:v>
      </x:c>
    </x:row>
    <x:row r="236">
      <x:c r="A236" s="1" t="str">
        <x:v>ORD-0232</x:v>
      </x:c>
      <x:c r="B236" s="4" t="d">
        <x:v>2025-06-05T00:00:00.000Z</x:v>
      </x:c>
      <x:c r="C236" s="1" t="str">
        <x:v>C-231</x:v>
      </x:c>
      <x:c r="D236" s="1" t="str">
        <x:v>East</x:v>
      </x:c>
      <x:c r="E236" s="1" t="str">
        <x:v>Electronics</x:v>
      </x:c>
      <x:c r="F236" s="1" t="str">
        <x:v>Headphones</x:v>
      </x:c>
      <x:c r="G236" s="1" t="n">
        <x:v>3</x:v>
      </x:c>
      <x:c r="H236" s="2" t="n">
        <x:v>2200</x:v>
      </x:c>
      <x:c r="I236" s="3" t="n">
        <x:v>0.25</x:v>
      </x:c>
      <x:c r="J236" s="2" t="n">
        <x:v>1450</x:v>
      </x:c>
      <x:c r="K236" s="2" t="n">
        <x:v>80</x:v>
      </x:c>
      <x:c r="L236" s="2" t="n">
        <x:f>G236*H236</x:f>
        <x:v>6600</x:v>
      </x:c>
      <x:c r="M236" s="2" t="n">
        <x:f>ROUND(L236*(1-I236),2)</x:f>
        <x:v>4950</x:v>
      </x:c>
      <x:c r="N236" s="2" t="n">
        <x:f>G236*J236</x:f>
        <x:v>4350</x:v>
      </x:c>
      <x:c r="O236" s="2" t="n">
        <x:f>M236-N236-K236</x:f>
        <x:v>520</x:v>
      </x:c>
      <x:c r="P236" s="1" t="str">
        <x:f>TEXT(B236,"yyyy-mm")</x:f>
        <x:v>2025-06</x:v>
      </x:c>
    </x:row>
    <x:row r="237">
      <x:c r="A237" s="1" t="str">
        <x:v>ORD-0233</x:v>
      </x:c>
      <x:c r="B237" s="4" t="d">
        <x:v>2025-10-12T00:00:00.000Z</x:v>
      </x:c>
      <x:c r="C237" s="1" t="str">
        <x:v>C-204</x:v>
      </x:c>
      <x:c r="D237" s="1" t="str">
        <x:v>East</x:v>
      </x:c>
      <x:c r="E237" s="1" t="str">
        <x:v>Electronics</x:v>
      </x:c>
      <x:c r="F237" s="1" t="str">
        <x:v>Smartwatch</x:v>
      </x:c>
      <x:c r="G237" s="1" t="n">
        <x:v>3</x:v>
      </x:c>
      <x:c r="H237" s="2" t="n">
        <x:v>4200</x:v>
      </x:c>
      <x:c r="I237" s="3" t="n">
        <x:v>0.25</x:v>
      </x:c>
      <x:c r="J237" s="2" t="n">
        <x:v>3000</x:v>
      </x:c>
      <x:c r="K237" s="2" t="n">
        <x:v>50</x:v>
      </x:c>
      <x:c r="L237" s="2" t="n">
        <x:f>G237*H237</x:f>
        <x:v>12600</x:v>
      </x:c>
      <x:c r="M237" s="2" t="n">
        <x:f>ROUND(L237*(1-I237),2)</x:f>
        <x:v>9450</x:v>
      </x:c>
      <x:c r="N237" s="2" t="n">
        <x:f>G237*J237</x:f>
        <x:v>9000</x:v>
      </x:c>
      <x:c r="O237" s="2" t="n">
        <x:f>M237-N237-K237</x:f>
        <x:v>400</x:v>
      </x:c>
      <x:c r="P237" s="1" t="str">
        <x:f>TEXT(B237,"yyyy-mm")</x:f>
        <x:v>2025-10</x:v>
      </x:c>
    </x:row>
    <x:row r="238">
      <x:c r="A238" s="1" t="str">
        <x:v>ORD-0234</x:v>
      </x:c>
      <x:c r="B238" s="4" t="d">
        <x:v>2025-12-06T00:00:00.000Z</x:v>
      </x:c>
      <x:c r="C238" s="1" t="str">
        <x:v>C-256</x:v>
      </x:c>
      <x:c r="D238" s="1" t="str">
        <x:v>West</x:v>
      </x:c>
      <x:c r="E238" s="1" t="str">
        <x:v>Electronics</x:v>
      </x:c>
      <x:c r="F238" s="1" t="str">
        <x:v>Headphones</x:v>
      </x:c>
      <x:c r="G238" s="1" t="n">
        <x:v>1</x:v>
      </x:c>
      <x:c r="H238" s="2" t="n">
        <x:v>2200</x:v>
      </x:c>
      <x:c r="I238" s="3" t="n">
        <x:v>0.35</x:v>
      </x:c>
      <x:c r="J238" s="2" t="n">
        <x:v>1450</x:v>
      </x:c>
      <x:c r="K238" s="2" t="n">
        <x:v>80</x:v>
      </x:c>
      <x:c r="L238" s="2" t="n">
        <x:f>G238*H238</x:f>
        <x:v>2200</x:v>
      </x:c>
      <x:c r="M238" s="2" t="n">
        <x:f>ROUND(L238*(1-I238),2)</x:f>
        <x:v>1430</x:v>
      </x:c>
      <x:c r="N238" s="2" t="n">
        <x:f>G238*J238</x:f>
        <x:v>1450</x:v>
      </x:c>
      <x:c r="O238" s="2" t="n">
        <x:f>M238-N238-K238</x:f>
        <x:v>-100</x:v>
      </x:c>
      <x:c r="P238" s="1" t="str">
        <x:f>TEXT(B238,"yyyy-mm")</x:f>
        <x:v>2025-12</x:v>
      </x:c>
    </x:row>
    <x:row r="239">
      <x:c r="A239" s="1" t="str">
        <x:v>ORD-0235</x:v>
      </x:c>
      <x:c r="B239" s="4" t="d">
        <x:v>2025-11-20T00:00:00.000Z</x:v>
      </x:c>
      <x:c r="C239" s="1" t="str">
        <x:v>C-147</x:v>
      </x:c>
      <x:c r="D239" s="1" t="str">
        <x:v>West</x:v>
      </x:c>
      <x:c r="E239" s="1" t="str">
        <x:v>Home</x:v>
      </x:c>
      <x:c r="F239" s="1" t="str">
        <x:v>Desk lamp</x:v>
      </x:c>
      <x:c r="G239" s="1" t="n">
        <x:v>2</x:v>
      </x:c>
      <x:c r="H239" s="2" t="n">
        <x:v>1100</x:v>
      </x:c>
      <x:c r="I239" s="3" t="n">
        <x:v>0.05</x:v>
      </x:c>
      <x:c r="J239" s="2" t="n">
        <x:v>650</x:v>
      </x:c>
      <x:c r="K239" s="2" t="n">
        <x:v>50</x:v>
      </x:c>
      <x:c r="L239" s="2" t="n">
        <x:f>G239*H239</x:f>
        <x:v>2200</x:v>
      </x:c>
      <x:c r="M239" s="2" t="n">
        <x:f>ROUND(L239*(1-I239),2)</x:f>
        <x:v>2090</x:v>
      </x:c>
      <x:c r="N239" s="2" t="n">
        <x:f>G239*J239</x:f>
        <x:v>1300</x:v>
      </x:c>
      <x:c r="O239" s="2" t="n">
        <x:f>M239-N239-K239</x:f>
        <x:v>740</x:v>
      </x:c>
      <x:c r="P239" s="1" t="str">
        <x:f>TEXT(B239,"yyyy-mm")</x:f>
        <x:v>2025-11</x:v>
      </x:c>
    </x:row>
    <x:row r="240">
      <x:c r="A240" s="1" t="str">
        <x:v>ORD-0236</x:v>
      </x:c>
      <x:c r="B240" s="4" t="d">
        <x:v>2025-03-06T00:00:00.000Z</x:v>
      </x:c>
      <x:c r="C240" s="1" t="str">
        <x:v>C-228</x:v>
      </x:c>
      <x:c r="D240" s="1" t="str">
        <x:v>North</x:v>
      </x:c>
      <x:c r="E240" s="1" t="str">
        <x:v>Electronics</x:v>
      </x:c>
      <x:c r="F240" s="1" t="str">
        <x:v>Keyboard</x:v>
      </x:c>
      <x:c r="G240" s="1" t="n">
        <x:v>3</x:v>
      </x:c>
      <x:c r="H240" s="2" t="n">
        <x:v>1500</x:v>
      </x:c>
      <x:c r="I240" s="3" t="n">
        <x:v>0.15</x:v>
      </x:c>
      <x:c r="J240" s="2" t="n">
        <x:v>900</x:v>
      </x:c>
      <x:c r="K240" s="2" t="n">
        <x:v>120</x:v>
      </x:c>
      <x:c r="L240" s="2" t="n">
        <x:f>G240*H240</x:f>
        <x:v>4500</x:v>
      </x:c>
      <x:c r="M240" s="2" t="n">
        <x:f>ROUND(L240*(1-I240),2)</x:f>
        <x:v>3825</x:v>
      </x:c>
      <x:c r="N240" s="2" t="n">
        <x:f>G240*J240</x:f>
        <x:v>2700</x:v>
      </x:c>
      <x:c r="O240" s="2" t="n">
        <x:f>M240-N240-K240</x:f>
        <x:v>1005</x:v>
      </x:c>
      <x:c r="P240" s="1" t="str">
        <x:f>TEXT(B240,"yyyy-mm")</x:f>
        <x:v>2025-03</x:v>
      </x:c>
    </x:row>
    <x:row r="241">
      <x:c r="A241" s="1" t="str">
        <x:v>ORD-0237</x:v>
      </x:c>
      <x:c r="B241" s="4" t="d">
        <x:v>2025-06-18T00:00:00.000Z</x:v>
      </x:c>
      <x:c r="C241" s="1" t="str">
        <x:v>C-149</x:v>
      </x:c>
      <x:c r="D241" s="1" t="str">
        <x:v>East</x:v>
      </x:c>
      <x:c r="E241" s="1" t="str">
        <x:v>Electronics</x:v>
      </x:c>
      <x:c r="F241" s="1" t="str">
        <x:v>Keyboard</x:v>
      </x:c>
      <x:c r="G241" s="1" t="n">
        <x:v>2</x:v>
      </x:c>
      <x:c r="H241" s="2" t="n">
        <x:v>1500</x:v>
      </x:c>
      <x:c r="I241" s="3" t="n">
        <x:v>0.25</x:v>
      </x:c>
      <x:c r="J241" s="2" t="n">
        <x:v>900</x:v>
      </x:c>
      <x:c r="K241" s="2" t="n">
        <x:v>120</x:v>
      </x:c>
      <x:c r="L241" s="2" t="n">
        <x:f>G241*H241</x:f>
        <x:v>3000</x:v>
      </x:c>
      <x:c r="M241" s="2" t="n">
        <x:f>ROUND(L241*(1-I241),2)</x:f>
        <x:v>2250</x:v>
      </x:c>
      <x:c r="N241" s="2" t="n">
        <x:f>G241*J241</x:f>
        <x:v>1800</x:v>
      </x:c>
      <x:c r="O241" s="2" t="n">
        <x:f>M241-N241-K241</x:f>
        <x:v>330</x:v>
      </x:c>
      <x:c r="P241" s="1" t="str">
        <x:f>TEXT(B241,"yyyy-mm")</x:f>
        <x:v>2025-06</x:v>
      </x:c>
    </x:row>
    <x:row r="242">
      <x:c r="A242" s="1" t="str">
        <x:v>ORD-0238</x:v>
      </x:c>
      <x:c r="B242" s="4" t="d">
        <x:v>2025-10-17T00:00:00.000Z</x:v>
      </x:c>
      <x:c r="C242" s="1" t="str">
        <x:v>C-115</x:v>
      </x:c>
      <x:c r="D242" s="1" t="str">
        <x:v>North</x:v>
      </x:c>
      <x:c r="E242" s="1" t="str">
        <x:v>Electronics</x:v>
      </x:c>
      <x:c r="F242" s="1" t="str">
        <x:v>Smartwatch</x:v>
      </x:c>
      <x:c r="G242" s="1" t="n">
        <x:v>2</x:v>
      </x:c>
      <x:c r="H242" s="2" t="n">
        <x:v>4200</x:v>
      </x:c>
      <x:c r="I242" s="3" t="n">
        <x:v>0.1</x:v>
      </x:c>
      <x:c r="J242" s="2" t="n">
        <x:v>3000</x:v>
      </x:c>
      <x:c r="K242" s="2" t="n">
        <x:v>50</x:v>
      </x:c>
      <x:c r="L242" s="2" t="n">
        <x:f>G242*H242</x:f>
        <x:v>8400</x:v>
      </x:c>
      <x:c r="M242" s="2" t="n">
        <x:f>ROUND(L242*(1-I242),2)</x:f>
        <x:v>7560</x:v>
      </x:c>
      <x:c r="N242" s="2" t="n">
        <x:f>G242*J242</x:f>
        <x:v>6000</x:v>
      </x:c>
      <x:c r="O242" s="2" t="n">
        <x:f>M242-N242-K242</x:f>
        <x:v>1510</x:v>
      </x:c>
      <x:c r="P242" s="1" t="str">
        <x:f>TEXT(B242,"yyyy-mm")</x:f>
        <x:v>2025-10</x:v>
      </x:c>
    </x:row>
    <x:row r="243">
      <x:c r="A243" s="1" t="str">
        <x:v>ORD-0239</x:v>
      </x:c>
      <x:c r="B243" s="4" t="d">
        <x:v>2025-04-12T00:00:00.000Z</x:v>
      </x:c>
      <x:c r="C243" s="1" t="str">
        <x:v>C-284</x:v>
      </x:c>
      <x:c r="D243" s="1" t="str">
        <x:v>East</x:v>
      </x:c>
      <x:c r="E243" s="1" t="str">
        <x:v>Home</x:v>
      </x:c>
      <x:c r="F243" s="1" t="str">
        <x:v>Desk lamp</x:v>
      </x:c>
      <x:c r="G243" s="1" t="n">
        <x:v>4</x:v>
      </x:c>
      <x:c r="H243" s="2" t="n">
        <x:v>1100</x:v>
      </x:c>
      <x:c r="I243" s="3" t="n">
        <x:v>0</x:v>
      </x:c>
      <x:c r="J243" s="2" t="n">
        <x:v>650</x:v>
      </x:c>
      <x:c r="K243" s="2" t="n">
        <x:v>120</x:v>
      </x:c>
      <x:c r="L243" s="2" t="n">
        <x:f>G243*H243</x:f>
        <x:v>4400</x:v>
      </x:c>
      <x:c r="M243" s="2" t="n">
        <x:f>ROUND(L243*(1-I243),2)</x:f>
        <x:v>4400</x:v>
      </x:c>
      <x:c r="N243" s="2" t="n">
        <x:f>G243*J243</x:f>
        <x:v>2600</x:v>
      </x:c>
      <x:c r="O243" s="2" t="n">
        <x:f>M243-N243-K243</x:f>
        <x:v>1680</x:v>
      </x:c>
      <x:c r="P243" s="1" t="str">
        <x:f>TEXT(B243,"yyyy-mm")</x:f>
        <x:v>2025-04</x:v>
      </x:c>
    </x:row>
    <x:row r="244">
      <x:c r="A244" s="1" t="str">
        <x:v>ORD-0240</x:v>
      </x:c>
      <x:c r="B244" s="4" t="d">
        <x:v>2025-03-10T00:00:00.000Z</x:v>
      </x:c>
      <x:c r="C244" s="1" t="str">
        <x:v>C-204</x:v>
      </x:c>
      <x:c r="D244" s="1" t="str">
        <x:v>West</x:v>
      </x:c>
      <x:c r="E244" s="1" t="str">
        <x:v>Electronics</x:v>
      </x:c>
      <x:c r="F244" s="1" t="str">
        <x:v>Keyboard</x:v>
      </x:c>
      <x:c r="G244" s="1" t="n">
        <x:v>4</x:v>
      </x:c>
      <x:c r="H244" s="2" t="n">
        <x:v>1500</x:v>
      </x:c>
      <x:c r="I244" s="3" t="n">
        <x:v>0</x:v>
      </x:c>
      <x:c r="J244" s="2" t="n">
        <x:v>900</x:v>
      </x:c>
      <x:c r="K244" s="2" t="n">
        <x:v>80</x:v>
      </x:c>
      <x:c r="L244" s="2" t="n">
        <x:f>G244*H244</x:f>
        <x:v>6000</x:v>
      </x:c>
      <x:c r="M244" s="2" t="n">
        <x:f>ROUND(L244*(1-I244),2)</x:f>
        <x:v>6000</x:v>
      </x:c>
      <x:c r="N244" s="2" t="n">
        <x:f>G244*J244</x:f>
        <x:v>3600</x:v>
      </x:c>
      <x:c r="O244" s="2" t="n">
        <x:f>M244-N244-K244</x:f>
        <x:v>2320</x:v>
      </x:c>
      <x:c r="P244" s="1" t="str">
        <x:f>TEXT(B244,"yyyy-mm")</x:f>
        <x:v>2025-03</x:v>
      </x:c>
    </x:row>
    <x:row r="245">
      <x:c r="A245" s="1" t="str">
        <x:v>ORD-0241</x:v>
      </x:c>
      <x:c r="B245" s="4" t="d">
        <x:v>2025-11-11T00:00:00.000Z</x:v>
      </x:c>
      <x:c r="C245" s="1" t="str">
        <x:v>C-038</x:v>
      </x:c>
      <x:c r="D245" s="1" t="str">
        <x:v>West</x:v>
      </x:c>
      <x:c r="E245" s="1" t="str">
        <x:v>Electronics</x:v>
      </x:c>
      <x:c r="F245" s="1" t="str">
        <x:v>Keyboard</x:v>
      </x:c>
      <x:c r="G245" s="1" t="n">
        <x:v>4</x:v>
      </x:c>
      <x:c r="H245" s="2" t="n">
        <x:v>1500</x:v>
      </x:c>
      <x:c r="I245" s="3" t="n">
        <x:v>0.05</x:v>
      </x:c>
      <x:c r="J245" s="2" t="n">
        <x:v>900</x:v>
      </x:c>
      <x:c r="K245" s="2" t="n">
        <x:v>120</x:v>
      </x:c>
      <x:c r="L245" s="2" t="n">
        <x:f>G245*H245</x:f>
        <x:v>6000</x:v>
      </x:c>
      <x:c r="M245" s="2" t="n">
        <x:f>ROUND(L245*(1-I245),2)</x:f>
        <x:v>5700</x:v>
      </x:c>
      <x:c r="N245" s="2" t="n">
        <x:f>G245*J245</x:f>
        <x:v>3600</x:v>
      </x:c>
      <x:c r="O245" s="2" t="n">
        <x:f>M245-N245-K245</x:f>
        <x:v>1980</x:v>
      </x:c>
      <x:c r="P245" s="1" t="str">
        <x:f>TEXT(B245,"yyyy-mm")</x:f>
        <x:v>2025-11</x:v>
      </x:c>
    </x:row>
    <x:row r="246">
      <x:c r="A246" s="1" t="str">
        <x:v>ORD-0242</x:v>
      </x:c>
      <x:c r="B246" s="4" t="d">
        <x:v>2025-08-21T00:00:00.000Z</x:v>
      </x:c>
      <x:c r="C246" s="1" t="str">
        <x:v>C-094</x:v>
      </x:c>
      <x:c r="D246" s="1" t="str">
        <x:v>South</x:v>
      </x:c>
      <x:c r="E246" s="1" t="str">
        <x:v>Electronics</x:v>
      </x:c>
      <x:c r="F246" s="1" t="str">
        <x:v>Smartwatch</x:v>
      </x:c>
      <x:c r="G246" s="1" t="n">
        <x:v>4</x:v>
      </x:c>
      <x:c r="H246" s="2" t="n">
        <x:v>4200</x:v>
      </x:c>
      <x:c r="I246" s="3" t="n">
        <x:v>0.25</x:v>
      </x:c>
      <x:c r="J246" s="2" t="n">
        <x:v>3000</x:v>
      </x:c>
      <x:c r="K246" s="2" t="n">
        <x:v>120</x:v>
      </x:c>
      <x:c r="L246" s="2" t="n">
        <x:f>G246*H246</x:f>
        <x:v>16800</x:v>
      </x:c>
      <x:c r="M246" s="2" t="n">
        <x:f>ROUND(L246*(1-I246),2)</x:f>
        <x:v>12600</x:v>
      </x:c>
      <x:c r="N246" s="2" t="n">
        <x:f>G246*J246</x:f>
        <x:v>12000</x:v>
      </x:c>
      <x:c r="O246" s="2" t="n">
        <x:f>M246-N246-K246</x:f>
        <x:v>480</x:v>
      </x:c>
      <x:c r="P246" s="1" t="str">
        <x:f>TEXT(B246,"yyyy-mm")</x:f>
        <x:v>2025-08</x:v>
      </x:c>
    </x:row>
    <x:row r="247">
      <x:c r="A247" s="1" t="str">
        <x:v>ORD-0243</x:v>
      </x:c>
      <x:c r="B247" s="4" t="d">
        <x:v>2025-12-17T00:00:00.000Z</x:v>
      </x:c>
      <x:c r="C247" s="1" t="str">
        <x:v>C-079</x:v>
      </x:c>
      <x:c r="D247" s="1" t="str">
        <x:v>East</x:v>
      </x:c>
      <x:c r="E247" s="1" t="str">
        <x:v>Electronics</x:v>
      </x:c>
      <x:c r="F247" s="1" t="str">
        <x:v>Headphones</x:v>
      </x:c>
      <x:c r="G247" s="1" t="n">
        <x:v>2</x:v>
      </x:c>
      <x:c r="H247" s="2" t="n">
        <x:v>2200</x:v>
      </x:c>
      <x:c r="I247" s="3" t="n">
        <x:v>0</x:v>
      </x:c>
      <x:c r="J247" s="2" t="n">
        <x:v>1450</x:v>
      </x:c>
      <x:c r="K247" s="2" t="n">
        <x:v>50</x:v>
      </x:c>
      <x:c r="L247" s="2" t="n">
        <x:f>G247*H247</x:f>
        <x:v>4400</x:v>
      </x:c>
      <x:c r="M247" s="2" t="n">
        <x:f>ROUND(L247*(1-I247),2)</x:f>
        <x:v>4400</x:v>
      </x:c>
      <x:c r="N247" s="2" t="n">
        <x:f>G247*J247</x:f>
        <x:v>2900</x:v>
      </x:c>
      <x:c r="O247" s="2" t="n">
        <x:f>M247-N247-K247</x:f>
        <x:v>1450</x:v>
      </x:c>
      <x:c r="P247" s="1" t="str">
        <x:f>TEXT(B247,"yyyy-mm")</x:f>
        <x:v>2025-12</x:v>
      </x:c>
    </x:row>
    <x:row r="248">
      <x:c r="A248" s="1" t="str">
        <x:v>ORD-0244</x:v>
      </x:c>
      <x:c r="B248" s="4" t="d">
        <x:v>2025-05-31T00:00:00.000Z</x:v>
      </x:c>
      <x:c r="C248" s="1" t="str">
        <x:v>C-266</x:v>
      </x:c>
      <x:c r="D248" s="1" t="str">
        <x:v>East</x:v>
      </x:c>
      <x:c r="E248" s="1" t="str">
        <x:v>Fashion</x:v>
      </x:c>
      <x:c r="F248" s="1" t="str">
        <x:v>T-shirt</x:v>
      </x:c>
      <x:c r="G248" s="1" t="n">
        <x:v>1</x:v>
      </x:c>
      <x:c r="H248" s="2" t="n">
        <x:v>700</x:v>
      </x:c>
      <x:c r="I248" s="3" t="n">
        <x:v>0.1</x:v>
      </x:c>
      <x:c r="J248" s="2" t="n">
        <x:v>300</x:v>
      </x:c>
      <x:c r="K248" s="2" t="n">
        <x:v>80</x:v>
      </x:c>
      <x:c r="L248" s="2" t="n">
        <x:f>G248*H248</x:f>
        <x:v>700</x:v>
      </x:c>
      <x:c r="M248" s="2" t="n">
        <x:f>ROUND(L248*(1-I248),2)</x:f>
        <x:v>630</x:v>
      </x:c>
      <x:c r="N248" s="2" t="n">
        <x:f>G248*J248</x:f>
        <x:v>300</x:v>
      </x:c>
      <x:c r="O248" s="2" t="n">
        <x:f>M248-N248-K248</x:f>
        <x:v>250</x:v>
      </x:c>
      <x:c r="P248" s="1" t="str">
        <x:f>TEXT(B248,"yyyy-mm")</x:f>
        <x:v>2025-05</x:v>
      </x:c>
    </x:row>
    <x:row r="249">
      <x:c r="A249" s="1" t="str">
        <x:v>ORD-0245</x:v>
      </x:c>
      <x:c r="B249" s="4" t="d">
        <x:v>2025-03-05T00:00:00.000Z</x:v>
      </x:c>
      <x:c r="C249" s="1" t="str">
        <x:v>C-156</x:v>
      </x:c>
      <x:c r="D249" s="1" t="str">
        <x:v>North</x:v>
      </x:c>
      <x:c r="E249" s="1" t="str">
        <x:v>Home</x:v>
      </x:c>
      <x:c r="F249" s="1" t="str">
        <x:v>Storage box</x:v>
      </x:c>
      <x:c r="G249" s="1" t="n">
        <x:v>2</x:v>
      </x:c>
      <x:c r="H249" s="2" t="n">
        <x:v>800</x:v>
      </x:c>
      <x:c r="I249" s="3" t="n">
        <x:v>0.1</x:v>
      </x:c>
      <x:c r="J249" s="2" t="n">
        <x:v>420</x:v>
      </x:c>
      <x:c r="K249" s="2" t="n">
        <x:v>120</x:v>
      </x:c>
      <x:c r="L249" s="2" t="n">
        <x:f>G249*H249</x:f>
        <x:v>1600</x:v>
      </x:c>
      <x:c r="M249" s="2" t="n">
        <x:f>ROUND(L249*(1-I249),2)</x:f>
        <x:v>1440</x:v>
      </x:c>
      <x:c r="N249" s="2" t="n">
        <x:f>G249*J249</x:f>
        <x:v>840</x:v>
      </x:c>
      <x:c r="O249" s="2" t="n">
        <x:f>M249-N249-K249</x:f>
        <x:v>480</x:v>
      </x:c>
      <x:c r="P249" s="1" t="str">
        <x:f>TEXT(B249,"yyyy-mm")</x:f>
        <x:v>2025-03</x:v>
      </x:c>
    </x:row>
    <x:row r="250">
      <x:c r="A250" s="1" t="str">
        <x:v>ORD-0246</x:v>
      </x:c>
      <x:c r="B250" s="4" t="d">
        <x:v>2025-12-22T00:00:00.000Z</x:v>
      </x:c>
      <x:c r="C250" s="1" t="str">
        <x:v>C-173</x:v>
      </x:c>
      <x:c r="D250" s="1" t="str">
        <x:v>North</x:v>
      </x:c>
      <x:c r="E250" s="1" t="str">
        <x:v>Electronics</x:v>
      </x:c>
      <x:c r="F250" s="1" t="str">
        <x:v>Smartwatch</x:v>
      </x:c>
      <x:c r="G250" s="1" t="n">
        <x:v>1</x:v>
      </x:c>
      <x:c r="H250" s="2" t="n">
        <x:v>4200</x:v>
      </x:c>
      <x:c r="I250" s="3" t="n">
        <x:v>0.05</x:v>
      </x:c>
      <x:c r="J250" s="2" t="n">
        <x:v>3000</x:v>
      </x:c>
      <x:c r="K250" s="2" t="n">
        <x:v>50</x:v>
      </x:c>
      <x:c r="L250" s="2" t="n">
        <x:f>G250*H250</x:f>
        <x:v>4200</x:v>
      </x:c>
      <x:c r="M250" s="2" t="n">
        <x:f>ROUND(L250*(1-I250),2)</x:f>
        <x:v>3990</x:v>
      </x:c>
      <x:c r="N250" s="2" t="n">
        <x:f>G250*J250</x:f>
        <x:v>3000</x:v>
      </x:c>
      <x:c r="O250" s="2" t="n">
        <x:f>M250-N250-K250</x:f>
        <x:v>940</x:v>
      </x:c>
      <x:c r="P250" s="1" t="str">
        <x:f>TEXT(B250,"yyyy-mm")</x:f>
        <x:v>2025-12</x:v>
      </x:c>
    </x:row>
    <x:row r="251">
      <x:c r="A251" s="1" t="str">
        <x:v>ORD-0247</x:v>
      </x:c>
      <x:c r="B251" s="4" t="d">
        <x:v>2025-01-07T00:00:00.000Z</x:v>
      </x:c>
      <x:c r="C251" s="1" t="str">
        <x:v>C-293</x:v>
      </x:c>
      <x:c r="D251" s="1" t="str">
        <x:v>West</x:v>
      </x:c>
      <x:c r="E251" s="1" t="str">
        <x:v>Fashion</x:v>
      </x:c>
      <x:c r="F251" s="1" t="str">
        <x:v>Sneakers</x:v>
      </x:c>
      <x:c r="G251" s="1" t="n">
        <x:v>1</x:v>
      </x:c>
      <x:c r="H251" s="2" t="n">
        <x:v>2400</x:v>
      </x:c>
      <x:c r="I251" s="3" t="n">
        <x:v>0.35</x:v>
      </x:c>
      <x:c r="J251" s="2" t="n">
        <x:v>1200</x:v>
      </x:c>
      <x:c r="K251" s="2" t="n">
        <x:v>80</x:v>
      </x:c>
      <x:c r="L251" s="2" t="n">
        <x:f>G251*H251</x:f>
        <x:v>2400</x:v>
      </x:c>
      <x:c r="M251" s="2" t="n">
        <x:f>ROUND(L251*(1-I251),2)</x:f>
        <x:v>1560</x:v>
      </x:c>
      <x:c r="N251" s="2" t="n">
        <x:f>G251*J251</x:f>
        <x:v>1200</x:v>
      </x:c>
      <x:c r="O251" s="2" t="n">
        <x:f>M251-N251-K251</x:f>
        <x:v>280</x:v>
      </x:c>
      <x:c r="P251" s="1" t="str">
        <x:f>TEXT(B251,"yyyy-mm")</x:f>
        <x:v>2025-01</x:v>
      </x:c>
    </x:row>
    <x:row r="252">
      <x:c r="A252" s="1" t="str">
        <x:v>ORD-0248</x:v>
      </x:c>
      <x:c r="B252" s="4" t="d">
        <x:v>2025-11-21T00:00:00.000Z</x:v>
      </x:c>
      <x:c r="C252" s="1" t="str">
        <x:v>C-155</x:v>
      </x:c>
      <x:c r="D252" s="1" t="str">
        <x:v>West</x:v>
      </x:c>
      <x:c r="E252" s="1" t="str">
        <x:v>Home</x:v>
      </x:c>
      <x:c r="F252" s="1" t="str">
        <x:v>Storage box</x:v>
      </x:c>
      <x:c r="G252" s="1" t="n">
        <x:v>2</x:v>
      </x:c>
      <x:c r="H252" s="2" t="n">
        <x:v>800</x:v>
      </x:c>
      <x:c r="I252" s="3" t="n">
        <x:v>0.1</x:v>
      </x:c>
      <x:c r="J252" s="2" t="n">
        <x:v>420</x:v>
      </x:c>
      <x:c r="K252" s="2" t="n">
        <x:v>120</x:v>
      </x:c>
      <x:c r="L252" s="2" t="n">
        <x:f>G252*H252</x:f>
        <x:v>1600</x:v>
      </x:c>
      <x:c r="M252" s="2" t="n">
        <x:f>ROUND(L252*(1-I252),2)</x:f>
        <x:v>1440</x:v>
      </x:c>
      <x:c r="N252" s="2" t="n">
        <x:f>G252*J252</x:f>
        <x:v>840</x:v>
      </x:c>
      <x:c r="O252" s="2" t="n">
        <x:f>M252-N252-K252</x:f>
        <x:v>480</x:v>
      </x:c>
      <x:c r="P252" s="1" t="str">
        <x:f>TEXT(B252,"yyyy-mm")</x:f>
        <x:v>2025-11</x:v>
      </x:c>
    </x:row>
    <x:row r="253">
      <x:c r="A253" s="1" t="str">
        <x:v>ORD-0249</x:v>
      </x:c>
      <x:c r="B253" s="4" t="d">
        <x:v>2025-06-23T00:00:00.000Z</x:v>
      </x:c>
      <x:c r="C253" s="1" t="str">
        <x:v>C-031</x:v>
      </x:c>
      <x:c r="D253" s="1" t="str">
        <x:v>South</x:v>
      </x:c>
      <x:c r="E253" s="1" t="str">
        <x:v>Home</x:v>
      </x:c>
      <x:c r="F253" s="1" t="str">
        <x:v>Desk lamp</x:v>
      </x:c>
      <x:c r="G253" s="1" t="n">
        <x:v>4</x:v>
      </x:c>
      <x:c r="H253" s="2" t="n">
        <x:v>1100</x:v>
      </x:c>
      <x:c r="I253" s="3" t="n">
        <x:v>0</x:v>
      </x:c>
      <x:c r="J253" s="2" t="n">
        <x:v>650</x:v>
      </x:c>
      <x:c r="K253" s="2" t="n">
        <x:v>80</x:v>
      </x:c>
      <x:c r="L253" s="2" t="n">
        <x:f>G253*H253</x:f>
        <x:v>4400</x:v>
      </x:c>
      <x:c r="M253" s="2" t="n">
        <x:f>ROUND(L253*(1-I253),2)</x:f>
        <x:v>4400</x:v>
      </x:c>
      <x:c r="N253" s="2" t="n">
        <x:f>G253*J253</x:f>
        <x:v>2600</x:v>
      </x:c>
      <x:c r="O253" s="2" t="n">
        <x:f>M253-N253-K253</x:f>
        <x:v>1720</x:v>
      </x:c>
      <x:c r="P253" s="1" t="str">
        <x:f>TEXT(B253,"yyyy-mm")</x:f>
        <x:v>2025-06</x:v>
      </x:c>
    </x:row>
    <x:row r="254">
      <x:c r="A254" s="1" t="str">
        <x:v>ORD-0250</x:v>
      </x:c>
      <x:c r="B254" s="4" t="d">
        <x:v>2025-07-20T00:00:00.000Z</x:v>
      </x:c>
      <x:c r="C254" s="1" t="str">
        <x:v>C-074</x:v>
      </x:c>
      <x:c r="D254" s="1" t="str">
        <x:v>East</x:v>
      </x:c>
      <x:c r="E254" s="1" t="str">
        <x:v>Fashion</x:v>
      </x:c>
      <x:c r="F254" s="1" t="str">
        <x:v>T-shirt</x:v>
      </x:c>
      <x:c r="G254" s="1" t="n">
        <x:v>3</x:v>
      </x:c>
      <x:c r="H254" s="2" t="n">
        <x:v>700</x:v>
      </x:c>
      <x:c r="I254" s="3" t="n">
        <x:v>0.1</x:v>
      </x:c>
      <x:c r="J254" s="2" t="n">
        <x:v>300</x:v>
      </x:c>
      <x:c r="K254" s="2" t="n">
        <x:v>120</x:v>
      </x:c>
      <x:c r="L254" s="2" t="n">
        <x:f>G254*H254</x:f>
        <x:v>2100</x:v>
      </x:c>
      <x:c r="M254" s="2" t="n">
        <x:f>ROUND(L254*(1-I254),2)</x:f>
        <x:v>1890</x:v>
      </x:c>
      <x:c r="N254" s="2" t="n">
        <x:f>G254*J254</x:f>
        <x:v>900</x:v>
      </x:c>
      <x:c r="O254" s="2" t="n">
        <x:f>M254-N254-K254</x:f>
        <x:v>870</x:v>
      </x:c>
      <x:c r="P254" s="1" t="str">
        <x:f>TEXT(B254,"yyyy-mm")</x:f>
        <x:v>2025-07</x:v>
      </x:c>
    </x:row>
    <x:row r="255">
      <x:c r="A255" s="1" t="str">
        <x:v>ORD-0251</x:v>
      </x:c>
      <x:c r="B255" s="4" t="d">
        <x:v>2025-12-05T00:00:00.000Z</x:v>
      </x:c>
      <x:c r="C255" s="1" t="str">
        <x:v>C-190</x:v>
      </x:c>
      <x:c r="D255" s="1" t="str">
        <x:v>North</x:v>
      </x:c>
      <x:c r="E255" s="1" t="str">
        <x:v>Fashion</x:v>
      </x:c>
      <x:c r="F255" s="1" t="str">
        <x:v>Backpack</x:v>
      </x:c>
      <x:c r="G255" s="1" t="n">
        <x:v>3</x:v>
      </x:c>
      <x:c r="H255" s="2" t="n">
        <x:v>1300</x:v>
      </x:c>
      <x:c r="I255" s="3" t="n">
        <x:v>0.15</x:v>
      </x:c>
      <x:c r="J255" s="2" t="n">
        <x:v>650</x:v>
      </x:c>
      <x:c r="K255" s="2" t="n">
        <x:v>50</x:v>
      </x:c>
      <x:c r="L255" s="2" t="n">
        <x:f>G255*H255</x:f>
        <x:v>3900</x:v>
      </x:c>
      <x:c r="M255" s="2" t="n">
        <x:f>ROUND(L255*(1-I255),2)</x:f>
        <x:v>3315</x:v>
      </x:c>
      <x:c r="N255" s="2" t="n">
        <x:f>G255*J255</x:f>
        <x:v>1950</x:v>
      </x:c>
      <x:c r="O255" s="2" t="n">
        <x:f>M255-N255-K255</x:f>
        <x:v>1315</x:v>
      </x:c>
      <x:c r="P255" s="1" t="str">
        <x:f>TEXT(B255,"yyyy-mm")</x:f>
        <x:v>2025-12</x:v>
      </x:c>
    </x:row>
    <x:row r="256">
      <x:c r="A256" s="1" t="str">
        <x:v>ORD-0252</x:v>
      </x:c>
      <x:c r="B256" s="4" t="d">
        <x:v>2025-07-08T00:00:00.000Z</x:v>
      </x:c>
      <x:c r="C256" s="1" t="str">
        <x:v>C-073</x:v>
      </x:c>
      <x:c r="D256" s="1" t="str">
        <x:v>North</x:v>
      </x:c>
      <x:c r="E256" s="1" t="str">
        <x:v>Fashion</x:v>
      </x:c>
      <x:c r="F256" s="1" t="str">
        <x:v>Sneakers</x:v>
      </x:c>
      <x:c r="G256" s="1" t="n">
        <x:v>1</x:v>
      </x:c>
      <x:c r="H256" s="2" t="n">
        <x:v>2400</x:v>
      </x:c>
      <x:c r="I256" s="3" t="n">
        <x:v>0.15</x:v>
      </x:c>
      <x:c r="J256" s="2" t="n">
        <x:v>1200</x:v>
      </x:c>
      <x:c r="K256" s="2" t="n">
        <x:v>80</x:v>
      </x:c>
      <x:c r="L256" s="2" t="n">
        <x:f>G256*H256</x:f>
        <x:v>2400</x:v>
      </x:c>
      <x:c r="M256" s="2" t="n">
        <x:f>ROUND(L256*(1-I256),2)</x:f>
        <x:v>2040</x:v>
      </x:c>
      <x:c r="N256" s="2" t="n">
        <x:f>G256*J256</x:f>
        <x:v>1200</x:v>
      </x:c>
      <x:c r="O256" s="2" t="n">
        <x:f>M256-N256-K256</x:f>
        <x:v>760</x:v>
      </x:c>
      <x:c r="P256" s="1" t="str">
        <x:f>TEXT(B256,"yyyy-mm")</x:f>
        <x:v>2025-07</x:v>
      </x:c>
    </x:row>
    <x:row r="257">
      <x:c r="A257" s="1" t="str">
        <x:v>ORD-0253</x:v>
      </x:c>
      <x:c r="B257" s="4" t="d">
        <x:v>2025-12-31T00:00:00.000Z</x:v>
      </x:c>
      <x:c r="C257" s="1" t="str">
        <x:v>C-082</x:v>
      </x:c>
      <x:c r="D257" s="1" t="str">
        <x:v>East</x:v>
      </x:c>
      <x:c r="E257" s="1" t="str">
        <x:v>Home</x:v>
      </x:c>
      <x:c r="F257" s="1" t="str">
        <x:v>Office chair</x:v>
      </x:c>
      <x:c r="G257" s="1" t="n">
        <x:v>3</x:v>
      </x:c>
      <x:c r="H257" s="2" t="n">
        <x:v>5500</x:v>
      </x:c>
      <x:c r="I257" s="3" t="n">
        <x:v>0.05</x:v>
      </x:c>
      <x:c r="J257" s="2" t="n">
        <x:v>4400</x:v>
      </x:c>
      <x:c r="K257" s="2" t="n">
        <x:v>50</x:v>
      </x:c>
      <x:c r="L257" s="2" t="n">
        <x:f>G257*H257</x:f>
        <x:v>16500</x:v>
      </x:c>
      <x:c r="M257" s="2" t="n">
        <x:f>ROUND(L257*(1-I257),2)</x:f>
        <x:v>15675</x:v>
      </x:c>
      <x:c r="N257" s="2" t="n">
        <x:f>G257*J257</x:f>
        <x:v>13200</x:v>
      </x:c>
      <x:c r="O257" s="2" t="n">
        <x:f>M257-N257-K257</x:f>
        <x:v>2425</x:v>
      </x:c>
      <x:c r="P257" s="1" t="str">
        <x:f>TEXT(B257,"yyyy-mm")</x:f>
        <x:v>2025-12</x:v>
      </x:c>
    </x:row>
    <x:row r="258">
      <x:c r="A258" s="1" t="str">
        <x:v>ORD-0254</x:v>
      </x:c>
      <x:c r="B258" s="4" t="d">
        <x:v>2025-10-15T00:00:00.000Z</x:v>
      </x:c>
      <x:c r="C258" s="1" t="str">
        <x:v>C-256</x:v>
      </x:c>
      <x:c r="D258" s="1" t="str">
        <x:v>East</x:v>
      </x:c>
      <x:c r="E258" s="1" t="str">
        <x:v>Home</x:v>
      </x:c>
      <x:c r="F258" s="1" t="str">
        <x:v>Desk lamp</x:v>
      </x:c>
      <x:c r="G258" s="1" t="n">
        <x:v>4</x:v>
      </x:c>
      <x:c r="H258" s="2" t="n">
        <x:v>1100</x:v>
      </x:c>
      <x:c r="I258" s="3" t="n">
        <x:v>0.25</x:v>
      </x:c>
      <x:c r="J258" s="2" t="n">
        <x:v>650</x:v>
      </x:c>
      <x:c r="K258" s="2" t="n">
        <x:v>50</x:v>
      </x:c>
      <x:c r="L258" s="2" t="n">
        <x:f>G258*H258</x:f>
        <x:v>4400</x:v>
      </x:c>
      <x:c r="M258" s="2" t="n">
        <x:f>ROUND(L258*(1-I258),2)</x:f>
        <x:v>3300</x:v>
      </x:c>
      <x:c r="N258" s="2" t="n">
        <x:f>G258*J258</x:f>
        <x:v>2600</x:v>
      </x:c>
      <x:c r="O258" s="2" t="n">
        <x:f>M258-N258-K258</x:f>
        <x:v>650</x:v>
      </x:c>
      <x:c r="P258" s="1" t="str">
        <x:f>TEXT(B258,"yyyy-mm")</x:f>
        <x:v>2025-10</x:v>
      </x:c>
    </x:row>
    <x:row r="259">
      <x:c r="A259" s="1" t="str">
        <x:v>ORD-0255</x:v>
      </x:c>
      <x:c r="B259" s="4" t="d">
        <x:v>2025-02-15T00:00:00.000Z</x:v>
      </x:c>
      <x:c r="C259" s="1" t="str">
        <x:v>C-124</x:v>
      </x:c>
      <x:c r="D259" s="1" t="str">
        <x:v>South</x:v>
      </x:c>
      <x:c r="E259" s="1" t="str">
        <x:v>Home</x:v>
      </x:c>
      <x:c r="F259" s="1" t="str">
        <x:v>Office chair</x:v>
      </x:c>
      <x:c r="G259" s="1" t="n">
        <x:v>3</x:v>
      </x:c>
      <x:c r="H259" s="2" t="n">
        <x:v>5500</x:v>
      </x:c>
      <x:c r="I259" s="3" t="n">
        <x:v>0.25</x:v>
      </x:c>
      <x:c r="J259" s="2" t="n">
        <x:v>4400</x:v>
      </x:c>
      <x:c r="K259" s="2" t="n">
        <x:v>50</x:v>
      </x:c>
      <x:c r="L259" s="2" t="n">
        <x:f>G259*H259</x:f>
        <x:v>16500</x:v>
      </x:c>
      <x:c r="M259" s="2" t="n">
        <x:f>ROUND(L259*(1-I259),2)</x:f>
        <x:v>12375</x:v>
      </x:c>
      <x:c r="N259" s="2" t="n">
        <x:f>G259*J259</x:f>
        <x:v>13200</x:v>
      </x:c>
      <x:c r="O259" s="2" t="n">
        <x:f>M259-N259-K259</x:f>
        <x:v>-875</x:v>
      </x:c>
      <x:c r="P259" s="1" t="str">
        <x:f>TEXT(B259,"yyyy-mm")</x:f>
        <x:v>2025-02</x:v>
      </x:c>
    </x:row>
    <x:row r="260">
      <x:c r="A260" s="1" t="str">
        <x:v>ORD-0256</x:v>
      </x:c>
      <x:c r="B260" s="4" t="d">
        <x:v>2025-01-29T00:00:00.000Z</x:v>
      </x:c>
      <x:c r="C260" s="1" t="str">
        <x:v>C-241</x:v>
      </x:c>
      <x:c r="D260" s="1" t="str">
        <x:v>East</x:v>
      </x:c>
      <x:c r="E260" s="1" t="str">
        <x:v>Home</x:v>
      </x:c>
      <x:c r="F260" s="1" t="str">
        <x:v>Desk lamp</x:v>
      </x:c>
      <x:c r="G260" s="1" t="n">
        <x:v>1</x:v>
      </x:c>
      <x:c r="H260" s="2" t="n">
        <x:v>1100</x:v>
      </x:c>
      <x:c r="I260" s="3" t="n">
        <x:v>0.25</x:v>
      </x:c>
      <x:c r="J260" s="2" t="n">
        <x:v>650</x:v>
      </x:c>
      <x:c r="K260" s="2" t="n">
        <x:v>50</x:v>
      </x:c>
      <x:c r="L260" s="2" t="n">
        <x:f>G260*H260</x:f>
        <x:v>1100</x:v>
      </x:c>
      <x:c r="M260" s="2" t="n">
        <x:f>ROUND(L260*(1-I260),2)</x:f>
        <x:v>825</x:v>
      </x:c>
      <x:c r="N260" s="2" t="n">
        <x:f>G260*J260</x:f>
        <x:v>650</x:v>
      </x:c>
      <x:c r="O260" s="2" t="n">
        <x:f>M260-N260-K260</x:f>
        <x:v>125</x:v>
      </x:c>
      <x:c r="P260" s="1" t="str">
        <x:f>TEXT(B260,"yyyy-mm")</x:f>
        <x:v>2025-01</x:v>
      </x:c>
    </x:row>
    <x:row r="261">
      <x:c r="A261" s="1" t="str">
        <x:v>ORD-0257</x:v>
      </x:c>
      <x:c r="B261" s="4" t="d">
        <x:v>2025-07-12T00:00:00.000Z</x:v>
      </x:c>
      <x:c r="C261" s="1" t="str">
        <x:v>C-207</x:v>
      </x:c>
      <x:c r="D261" s="1" t="str">
        <x:v>East</x:v>
      </x:c>
      <x:c r="E261" s="1" t="str">
        <x:v>Fashion</x:v>
      </x:c>
      <x:c r="F261" s="1" t="str">
        <x:v>Sneakers</x:v>
      </x:c>
      <x:c r="G261" s="1" t="n">
        <x:v>1</x:v>
      </x:c>
      <x:c r="H261" s="2" t="n">
        <x:v>2400</x:v>
      </x:c>
      <x:c r="I261" s="3" t="n">
        <x:v>0.35</x:v>
      </x:c>
      <x:c r="J261" s="2" t="n">
        <x:v>1200</x:v>
      </x:c>
      <x:c r="K261" s="2" t="n">
        <x:v>80</x:v>
      </x:c>
      <x:c r="L261" s="2" t="n">
        <x:f>G261*H261</x:f>
        <x:v>2400</x:v>
      </x:c>
      <x:c r="M261" s="2" t="n">
        <x:f>ROUND(L261*(1-I261),2)</x:f>
        <x:v>1560</x:v>
      </x:c>
      <x:c r="N261" s="2" t="n">
        <x:f>G261*J261</x:f>
        <x:v>1200</x:v>
      </x:c>
      <x:c r="O261" s="2" t="n">
        <x:f>M261-N261-K261</x:f>
        <x:v>280</x:v>
      </x:c>
      <x:c r="P261" s="1" t="str">
        <x:f>TEXT(B261,"yyyy-mm")</x:f>
        <x:v>2025-07</x:v>
      </x:c>
    </x:row>
    <x:row r="262">
      <x:c r="A262" s="1" t="str">
        <x:v>ORD-0258</x:v>
      </x:c>
      <x:c r="B262" s="4" t="d">
        <x:v>2025-01-12T00:00:00.000Z</x:v>
      </x:c>
      <x:c r="C262" s="1" t="str">
        <x:v>C-284</x:v>
      </x:c>
      <x:c r="D262" s="1" t="str">
        <x:v>East</x:v>
      </x:c>
      <x:c r="E262" s="1" t="str">
        <x:v>Home</x:v>
      </x:c>
      <x:c r="F262" s="1" t="str">
        <x:v>Storage box</x:v>
      </x:c>
      <x:c r="G262" s="1" t="n">
        <x:v>1</x:v>
      </x:c>
      <x:c r="H262" s="2" t="n">
        <x:v>800</x:v>
      </x:c>
      <x:c r="I262" s="3" t="n">
        <x:v>0.05</x:v>
      </x:c>
      <x:c r="J262" s="2" t="n">
        <x:v>420</x:v>
      </x:c>
      <x:c r="K262" s="2" t="n">
        <x:v>80</x:v>
      </x:c>
      <x:c r="L262" s="2" t="n">
        <x:f>G262*H262</x:f>
        <x:v>800</x:v>
      </x:c>
      <x:c r="M262" s="2" t="n">
        <x:f>ROUND(L262*(1-I262),2)</x:f>
        <x:v>760</x:v>
      </x:c>
      <x:c r="N262" s="2" t="n">
        <x:f>G262*J262</x:f>
        <x:v>420</x:v>
      </x:c>
      <x:c r="O262" s="2" t="n">
        <x:f>M262-N262-K262</x:f>
        <x:v>260</x:v>
      </x:c>
      <x:c r="P262" s="1" t="str">
        <x:f>TEXT(B262,"yyyy-mm")</x:f>
        <x:v>2025-01</x:v>
      </x:c>
    </x:row>
    <x:row r="263">
      <x:c r="A263" s="1" t="str">
        <x:v>ORD-0259</x:v>
      </x:c>
      <x:c r="B263" s="4" t="d">
        <x:v>2025-08-27T00:00:00.000Z</x:v>
      </x:c>
      <x:c r="C263" s="1" t="str">
        <x:v>C-061</x:v>
      </x:c>
      <x:c r="D263" s="1" t="str">
        <x:v>South</x:v>
      </x:c>
      <x:c r="E263" s="1" t="str">
        <x:v>Home</x:v>
      </x:c>
      <x:c r="F263" s="1" t="str">
        <x:v>Storage box</x:v>
      </x:c>
      <x:c r="G263" s="1" t="n">
        <x:v>1</x:v>
      </x:c>
      <x:c r="H263" s="2" t="n">
        <x:v>800</x:v>
      </x:c>
      <x:c r="I263" s="3" t="n">
        <x:v>0.1</x:v>
      </x:c>
      <x:c r="J263" s="2" t="n">
        <x:v>420</x:v>
      </x:c>
      <x:c r="K263" s="2" t="n">
        <x:v>80</x:v>
      </x:c>
      <x:c r="L263" s="2" t="n">
        <x:f>G263*H263</x:f>
        <x:v>800</x:v>
      </x:c>
      <x:c r="M263" s="2" t="n">
        <x:f>ROUND(L263*(1-I263),2)</x:f>
        <x:v>720</x:v>
      </x:c>
      <x:c r="N263" s="2" t="n">
        <x:f>G263*J263</x:f>
        <x:v>420</x:v>
      </x:c>
      <x:c r="O263" s="2" t="n">
        <x:f>M263-N263-K263</x:f>
        <x:v>220</x:v>
      </x:c>
      <x:c r="P263" s="1" t="str">
        <x:f>TEXT(B263,"yyyy-mm")</x:f>
        <x:v>2025-08</x:v>
      </x:c>
    </x:row>
    <x:row r="264">
      <x:c r="A264" s="1" t="str">
        <x:v>ORD-0260</x:v>
      </x:c>
      <x:c r="B264" s="4" t="d">
        <x:v>2025-06-12T00:00:00.000Z</x:v>
      </x:c>
      <x:c r="C264" s="1" t="str">
        <x:v>C-074</x:v>
      </x:c>
      <x:c r="D264" s="1" t="str">
        <x:v>South</x:v>
      </x:c>
      <x:c r="E264" s="1" t="str">
        <x:v>Fashion</x:v>
      </x:c>
      <x:c r="F264" s="1" t="str">
        <x:v>Backpack</x:v>
      </x:c>
      <x:c r="G264" s="1" t="n">
        <x:v>4</x:v>
      </x:c>
      <x:c r="H264" s="2" t="n">
        <x:v>1300</x:v>
      </x:c>
      <x:c r="I264" s="3" t="n">
        <x:v>0.25</x:v>
      </x:c>
      <x:c r="J264" s="2" t="n">
        <x:v>650</x:v>
      </x:c>
      <x:c r="K264" s="2" t="n">
        <x:v>120</x:v>
      </x:c>
      <x:c r="L264" s="2" t="n">
        <x:f>G264*H264</x:f>
        <x:v>5200</x:v>
      </x:c>
      <x:c r="M264" s="2" t="n">
        <x:f>ROUND(L264*(1-I264),2)</x:f>
        <x:v>3900</x:v>
      </x:c>
      <x:c r="N264" s="2" t="n">
        <x:f>G264*J264</x:f>
        <x:v>2600</x:v>
      </x:c>
      <x:c r="O264" s="2" t="n">
        <x:f>M264-N264-K264</x:f>
        <x:v>1180</x:v>
      </x:c>
      <x:c r="P264" s="1" t="str">
        <x:f>TEXT(B264,"yyyy-mm")</x:f>
        <x:v>2025-06</x:v>
      </x:c>
    </x:row>
    <x:row r="265">
      <x:c r="A265" s="1" t="str">
        <x:v>ORD-0261</x:v>
      </x:c>
      <x:c r="B265" s="4" t="d">
        <x:v>2025-01-23T00:00:00.000Z</x:v>
      </x:c>
      <x:c r="C265" s="1" t="str">
        <x:v>C-171</x:v>
      </x:c>
      <x:c r="D265" s="1" t="str">
        <x:v>West</x:v>
      </x:c>
      <x:c r="E265" s="1" t="str">
        <x:v>Electronics</x:v>
      </x:c>
      <x:c r="F265" s="1" t="str">
        <x:v>Headphones</x:v>
      </x:c>
      <x:c r="G265" s="1" t="n">
        <x:v>4</x:v>
      </x:c>
      <x:c r="H265" s="2" t="n">
        <x:v>2200</x:v>
      </x:c>
      <x:c r="I265" s="3" t="n">
        <x:v>0.05</x:v>
      </x:c>
      <x:c r="J265" s="2" t="n">
        <x:v>1450</x:v>
      </x:c>
      <x:c r="K265" s="2" t="n">
        <x:v>50</x:v>
      </x:c>
      <x:c r="L265" s="2" t="n">
        <x:f>G265*H265</x:f>
        <x:v>8800</x:v>
      </x:c>
      <x:c r="M265" s="2" t="n">
        <x:f>ROUND(L265*(1-I265),2)</x:f>
        <x:v>8360</x:v>
      </x:c>
      <x:c r="N265" s="2" t="n">
        <x:f>G265*J265</x:f>
        <x:v>5800</x:v>
      </x:c>
      <x:c r="O265" s="2" t="n">
        <x:f>M265-N265-K265</x:f>
        <x:v>2510</x:v>
      </x:c>
      <x:c r="P265" s="1" t="str">
        <x:f>TEXT(B265,"yyyy-mm")</x:f>
        <x:v>2025-01</x:v>
      </x:c>
    </x:row>
    <x:row r="266">
      <x:c r="A266" s="1" t="str">
        <x:v>ORD-0262</x:v>
      </x:c>
      <x:c r="B266" s="4" t="d">
        <x:v>2025-09-11T00:00:00.000Z</x:v>
      </x:c>
      <x:c r="C266" s="1" t="str">
        <x:v>C-164</x:v>
      </x:c>
      <x:c r="D266" s="1" t="str">
        <x:v>South</x:v>
      </x:c>
      <x:c r="E266" s="1" t="str">
        <x:v>Home</x:v>
      </x:c>
      <x:c r="F266" s="1" t="str">
        <x:v>Storage box</x:v>
      </x:c>
      <x:c r="G266" s="1" t="n">
        <x:v>4</x:v>
      </x:c>
      <x:c r="H266" s="2" t="n">
        <x:v>800</x:v>
      </x:c>
      <x:c r="I266" s="3" t="n">
        <x:v>0.05</x:v>
      </x:c>
      <x:c r="J266" s="2" t="n">
        <x:v>420</x:v>
      </x:c>
      <x:c r="K266" s="2" t="n">
        <x:v>120</x:v>
      </x:c>
      <x:c r="L266" s="2" t="n">
        <x:f>G266*H266</x:f>
        <x:v>3200</x:v>
      </x:c>
      <x:c r="M266" s="2" t="n">
        <x:f>ROUND(L266*(1-I266),2)</x:f>
        <x:v>3040</x:v>
      </x:c>
      <x:c r="N266" s="2" t="n">
        <x:f>G266*J266</x:f>
        <x:v>1680</x:v>
      </x:c>
      <x:c r="O266" s="2" t="n">
        <x:f>M266-N266-K266</x:f>
        <x:v>1240</x:v>
      </x:c>
      <x:c r="P266" s="1" t="str">
        <x:f>TEXT(B266,"yyyy-mm")</x:f>
        <x:v>2025-09</x:v>
      </x:c>
    </x:row>
    <x:row r="267">
      <x:c r="A267" s="1" t="str">
        <x:v>ORD-0263</x:v>
      </x:c>
      <x:c r="B267" s="4" t="d">
        <x:v>2025-10-11T00:00:00.000Z</x:v>
      </x:c>
      <x:c r="C267" s="1" t="str">
        <x:v>C-260</x:v>
      </x:c>
      <x:c r="D267" s="1" t="str">
        <x:v>West</x:v>
      </x:c>
      <x:c r="E267" s="1" t="str">
        <x:v>Fashion</x:v>
      </x:c>
      <x:c r="F267" s="1" t="str">
        <x:v>Sneakers</x:v>
      </x:c>
      <x:c r="G267" s="1" t="n">
        <x:v>3</x:v>
      </x:c>
      <x:c r="H267" s="2" t="n">
        <x:v>2400</x:v>
      </x:c>
      <x:c r="I267" s="3" t="n">
        <x:v>0.25</x:v>
      </x:c>
      <x:c r="J267" s="2" t="n">
        <x:v>1200</x:v>
      </x:c>
      <x:c r="K267" s="2" t="n">
        <x:v>80</x:v>
      </x:c>
      <x:c r="L267" s="2" t="n">
        <x:f>G267*H267</x:f>
        <x:v>7200</x:v>
      </x:c>
      <x:c r="M267" s="2" t="n">
        <x:f>ROUND(L267*(1-I267),2)</x:f>
        <x:v>5400</x:v>
      </x:c>
      <x:c r="N267" s="2" t="n">
        <x:f>G267*J267</x:f>
        <x:v>3600</x:v>
      </x:c>
      <x:c r="O267" s="2" t="n">
        <x:f>M267-N267-K267</x:f>
        <x:v>1720</x:v>
      </x:c>
      <x:c r="P267" s="1" t="str">
        <x:f>TEXT(B267,"yyyy-mm")</x:f>
        <x:v>2025-10</x:v>
      </x:c>
    </x:row>
    <x:row r="268">
      <x:c r="A268" s="1" t="str">
        <x:v>ORD-0264</x:v>
      </x:c>
      <x:c r="B268" s="4" t="d">
        <x:v>2025-11-22T00:00:00.000Z</x:v>
      </x:c>
      <x:c r="C268" s="1" t="str">
        <x:v>C-057</x:v>
      </x:c>
      <x:c r="D268" s="1" t="str">
        <x:v>West</x:v>
      </x:c>
      <x:c r="E268" s="1" t="str">
        <x:v>Fashion</x:v>
      </x:c>
      <x:c r="F268" s="1" t="str">
        <x:v>Backpack</x:v>
      </x:c>
      <x:c r="G268" s="1" t="n">
        <x:v>3</x:v>
      </x:c>
      <x:c r="H268" s="2" t="n">
        <x:v>1300</x:v>
      </x:c>
      <x:c r="I268" s="3" t="n">
        <x:v>0.1</x:v>
      </x:c>
      <x:c r="J268" s="2" t="n">
        <x:v>650</x:v>
      </x:c>
      <x:c r="K268" s="2" t="n">
        <x:v>120</x:v>
      </x:c>
      <x:c r="L268" s="2" t="n">
        <x:f>G268*H268</x:f>
        <x:v>3900</x:v>
      </x:c>
      <x:c r="M268" s="2" t="n">
        <x:f>ROUND(L268*(1-I268),2)</x:f>
        <x:v>3510</x:v>
      </x:c>
      <x:c r="N268" s="2" t="n">
        <x:f>G268*J268</x:f>
        <x:v>1950</x:v>
      </x:c>
      <x:c r="O268" s="2" t="n">
        <x:f>M268-N268-K268</x:f>
        <x:v>1440</x:v>
      </x:c>
      <x:c r="P268" s="1" t="str">
        <x:f>TEXT(B268,"yyyy-mm")</x:f>
        <x:v>2025-11</x:v>
      </x:c>
    </x:row>
    <x:row r="269">
      <x:c r="A269" s="1" t="str">
        <x:v>ORD-0265</x:v>
      </x:c>
      <x:c r="B269" s="4" t="d">
        <x:v>2025-11-16T00:00:00.000Z</x:v>
      </x:c>
      <x:c r="C269" s="1" t="str">
        <x:v>C-136</x:v>
      </x:c>
      <x:c r="D269" s="1" t="str">
        <x:v>South</x:v>
      </x:c>
      <x:c r="E269" s="1" t="str">
        <x:v>Electronics</x:v>
      </x:c>
      <x:c r="F269" s="1" t="str">
        <x:v>Headphones</x:v>
      </x:c>
      <x:c r="G269" s="1" t="n">
        <x:v>1</x:v>
      </x:c>
      <x:c r="H269" s="2" t="n">
        <x:v>2200</x:v>
      </x:c>
      <x:c r="I269" s="3" t="n">
        <x:v>0.25</x:v>
      </x:c>
      <x:c r="J269" s="2" t="n">
        <x:v>1450</x:v>
      </x:c>
      <x:c r="K269" s="2" t="n">
        <x:v>120</x:v>
      </x:c>
      <x:c r="L269" s="2" t="n">
        <x:f>G269*H269</x:f>
        <x:v>2200</x:v>
      </x:c>
      <x:c r="M269" s="2" t="n">
        <x:f>ROUND(L269*(1-I269),2)</x:f>
        <x:v>1650</x:v>
      </x:c>
      <x:c r="N269" s="2" t="n">
        <x:f>G269*J269</x:f>
        <x:v>1450</x:v>
      </x:c>
      <x:c r="O269" s="2" t="n">
        <x:f>M269-N269-K269</x:f>
        <x:v>80</x:v>
      </x:c>
      <x:c r="P269" s="1" t="str">
        <x:f>TEXT(B269,"yyyy-mm")</x:f>
        <x:v>2025-11</x:v>
      </x:c>
    </x:row>
    <x:row r="270">
      <x:c r="A270" s="1" t="str">
        <x:v>ORD-0266</x:v>
      </x:c>
      <x:c r="B270" s="4" t="d">
        <x:v>2025-07-24T00:00:00.000Z</x:v>
      </x:c>
      <x:c r="C270" s="1" t="str">
        <x:v>C-195</x:v>
      </x:c>
      <x:c r="D270" s="1" t="str">
        <x:v>South</x:v>
      </x:c>
      <x:c r="E270" s="1" t="str">
        <x:v>Home</x:v>
      </x:c>
      <x:c r="F270" s="1" t="str">
        <x:v>Storage box</x:v>
      </x:c>
      <x:c r="G270" s="1" t="n">
        <x:v>2</x:v>
      </x:c>
      <x:c r="H270" s="2" t="n">
        <x:v>800</x:v>
      </x:c>
      <x:c r="I270" s="3" t="n">
        <x:v>0.35</x:v>
      </x:c>
      <x:c r="J270" s="2" t="n">
        <x:v>420</x:v>
      </x:c>
      <x:c r="K270" s="2" t="n">
        <x:v>50</x:v>
      </x:c>
      <x:c r="L270" s="2" t="n">
        <x:f>G270*H270</x:f>
        <x:v>1600</x:v>
      </x:c>
      <x:c r="M270" s="2" t="n">
        <x:f>ROUND(L270*(1-I270),2)</x:f>
        <x:v>1040</x:v>
      </x:c>
      <x:c r="N270" s="2" t="n">
        <x:f>G270*J270</x:f>
        <x:v>840</x:v>
      </x:c>
      <x:c r="O270" s="2" t="n">
        <x:f>M270-N270-K270</x:f>
        <x:v>150</x:v>
      </x:c>
      <x:c r="P270" s="1" t="str">
        <x:f>TEXT(B270,"yyyy-mm")</x:f>
        <x:v>2025-07</x:v>
      </x:c>
    </x:row>
    <x:row r="271">
      <x:c r="A271" s="1" t="str">
        <x:v>ORD-0267</x:v>
      </x:c>
      <x:c r="B271" s="4" t="d">
        <x:v>2025-09-01T00:00:00.000Z</x:v>
      </x:c>
      <x:c r="C271" s="1" t="str">
        <x:v>C-226</x:v>
      </x:c>
      <x:c r="D271" s="1" t="str">
        <x:v>East</x:v>
      </x:c>
      <x:c r="E271" s="1" t="str">
        <x:v>Electronics</x:v>
      </x:c>
      <x:c r="F271" s="1" t="str">
        <x:v>Keyboard</x:v>
      </x:c>
      <x:c r="G271" s="1" t="n">
        <x:v>4</x:v>
      </x:c>
      <x:c r="H271" s="2" t="n">
        <x:v>1500</x:v>
      </x:c>
      <x:c r="I271" s="3" t="n">
        <x:v>0.05</x:v>
      </x:c>
      <x:c r="J271" s="2" t="n">
        <x:v>900</x:v>
      </x:c>
      <x:c r="K271" s="2" t="n">
        <x:v>50</x:v>
      </x:c>
      <x:c r="L271" s="2" t="n">
        <x:f>G271*H271</x:f>
        <x:v>6000</x:v>
      </x:c>
      <x:c r="M271" s="2" t="n">
        <x:f>ROUND(L271*(1-I271),2)</x:f>
        <x:v>5700</x:v>
      </x:c>
      <x:c r="N271" s="2" t="n">
        <x:f>G271*J271</x:f>
        <x:v>3600</x:v>
      </x:c>
      <x:c r="O271" s="2" t="n">
        <x:f>M271-N271-K271</x:f>
        <x:v>2050</x:v>
      </x:c>
      <x:c r="P271" s="1" t="str">
        <x:f>TEXT(B271,"yyyy-mm")</x:f>
        <x:v>2025-09</x:v>
      </x:c>
    </x:row>
    <x:row r="272">
      <x:c r="A272" s="1" t="str">
        <x:v>ORD-0268</x:v>
      </x:c>
      <x:c r="B272" s="4" t="d">
        <x:v>2025-07-17T00:00:00.000Z</x:v>
      </x:c>
      <x:c r="C272" s="1" t="str">
        <x:v>C-242</x:v>
      </x:c>
      <x:c r="D272" s="1" t="str">
        <x:v>North</x:v>
      </x:c>
      <x:c r="E272" s="1" t="str">
        <x:v>Fashion</x:v>
      </x:c>
      <x:c r="F272" s="1" t="str">
        <x:v>T-shirt</x:v>
      </x:c>
      <x:c r="G272" s="1" t="n">
        <x:v>2</x:v>
      </x:c>
      <x:c r="H272" s="2" t="n">
        <x:v>700</x:v>
      </x:c>
      <x:c r="I272" s="3" t="n">
        <x:v>0.15</x:v>
      </x:c>
      <x:c r="J272" s="2" t="n">
        <x:v>300</x:v>
      </x:c>
      <x:c r="K272" s="2" t="n">
        <x:v>120</x:v>
      </x:c>
      <x:c r="L272" s="2" t="n">
        <x:f>G272*H272</x:f>
        <x:v>1400</x:v>
      </x:c>
      <x:c r="M272" s="2" t="n">
        <x:f>ROUND(L272*(1-I272),2)</x:f>
        <x:v>1190</x:v>
      </x:c>
      <x:c r="N272" s="2" t="n">
        <x:f>G272*J272</x:f>
        <x:v>600</x:v>
      </x:c>
      <x:c r="O272" s="2" t="n">
        <x:f>M272-N272-K272</x:f>
        <x:v>470</x:v>
      </x:c>
      <x:c r="P272" s="1" t="str">
        <x:f>TEXT(B272,"yyyy-mm")</x:f>
        <x:v>2025-07</x:v>
      </x:c>
    </x:row>
    <x:row r="273">
      <x:c r="A273" s="1" t="str">
        <x:v>ORD-0269</x:v>
      </x:c>
      <x:c r="B273" s="4" t="d">
        <x:v>2025-04-16T00:00:00.000Z</x:v>
      </x:c>
      <x:c r="C273" s="1" t="str">
        <x:v>C-270</x:v>
      </x:c>
      <x:c r="D273" s="1" t="str">
        <x:v>West</x:v>
      </x:c>
      <x:c r="E273" s="1" t="str">
        <x:v>Fashion</x:v>
      </x:c>
      <x:c r="F273" s="1" t="str">
        <x:v>Backpack</x:v>
      </x:c>
      <x:c r="G273" s="1" t="n">
        <x:v>3</x:v>
      </x:c>
      <x:c r="H273" s="2" t="n">
        <x:v>1300</x:v>
      </x:c>
      <x:c r="I273" s="3" t="n">
        <x:v>0.35</x:v>
      </x:c>
      <x:c r="J273" s="2" t="n">
        <x:v>650</x:v>
      </x:c>
      <x:c r="K273" s="2" t="n">
        <x:v>50</x:v>
      </x:c>
      <x:c r="L273" s="2" t="n">
        <x:f>G273*H273</x:f>
        <x:v>3900</x:v>
      </x:c>
      <x:c r="M273" s="2" t="n">
        <x:f>ROUND(L273*(1-I273),2)</x:f>
        <x:v>2535</x:v>
      </x:c>
      <x:c r="N273" s="2" t="n">
        <x:f>G273*J273</x:f>
        <x:v>1950</x:v>
      </x:c>
      <x:c r="O273" s="2" t="n">
        <x:f>M273-N273-K273</x:f>
        <x:v>535</x:v>
      </x:c>
      <x:c r="P273" s="1" t="str">
        <x:f>TEXT(B273,"yyyy-mm")</x:f>
        <x:v>2025-04</x:v>
      </x:c>
    </x:row>
    <x:row r="274">
      <x:c r="A274" s="1" t="str">
        <x:v>ORD-0270</x:v>
      </x:c>
      <x:c r="B274" s="4" t="d">
        <x:v>2025-07-18T00:00:00.000Z</x:v>
      </x:c>
      <x:c r="C274" s="1" t="str">
        <x:v>C-182</x:v>
      </x:c>
      <x:c r="D274" s="1" t="str">
        <x:v>East</x:v>
      </x:c>
      <x:c r="E274" s="1" t="str">
        <x:v>Home</x:v>
      </x:c>
      <x:c r="F274" s="1" t="str">
        <x:v>Storage box</x:v>
      </x:c>
      <x:c r="G274" s="1" t="n">
        <x:v>4</x:v>
      </x:c>
      <x:c r="H274" s="2" t="n">
        <x:v>800</x:v>
      </x:c>
      <x:c r="I274" s="3" t="n">
        <x:v>0.1</x:v>
      </x:c>
      <x:c r="J274" s="2" t="n">
        <x:v>420</x:v>
      </x:c>
      <x:c r="K274" s="2" t="n">
        <x:v>50</x:v>
      </x:c>
      <x:c r="L274" s="2" t="n">
        <x:f>G274*H274</x:f>
        <x:v>3200</x:v>
      </x:c>
      <x:c r="M274" s="2" t="n">
        <x:f>ROUND(L274*(1-I274),2)</x:f>
        <x:v>2880</x:v>
      </x:c>
      <x:c r="N274" s="2" t="n">
        <x:f>G274*J274</x:f>
        <x:v>1680</x:v>
      </x:c>
      <x:c r="O274" s="2" t="n">
        <x:f>M274-N274-K274</x:f>
        <x:v>1150</x:v>
      </x:c>
      <x:c r="P274" s="1" t="str">
        <x:f>TEXT(B274,"yyyy-mm")</x:f>
        <x:v>2025-07</x:v>
      </x:c>
    </x:row>
    <x:row r="275">
      <x:c r="A275" s="1" t="str">
        <x:v>ORD-0271</x:v>
      </x:c>
      <x:c r="B275" s="4" t="d">
        <x:v>2025-12-10T00:00:00.000Z</x:v>
      </x:c>
      <x:c r="C275" s="1" t="str">
        <x:v>C-116</x:v>
      </x:c>
      <x:c r="D275" s="1" t="str">
        <x:v>East</x:v>
      </x:c>
      <x:c r="E275" s="1" t="str">
        <x:v>Fashion</x:v>
      </x:c>
      <x:c r="F275" s="1" t="str">
        <x:v>Sneakers</x:v>
      </x:c>
      <x:c r="G275" s="1" t="n">
        <x:v>3</x:v>
      </x:c>
      <x:c r="H275" s="2" t="n">
        <x:v>2400</x:v>
      </x:c>
      <x:c r="I275" s="3" t="n">
        <x:v>0.25</x:v>
      </x:c>
      <x:c r="J275" s="2" t="n">
        <x:v>1200</x:v>
      </x:c>
      <x:c r="K275" s="2" t="n">
        <x:v>120</x:v>
      </x:c>
      <x:c r="L275" s="2" t="n">
        <x:f>G275*H275</x:f>
        <x:v>7200</x:v>
      </x:c>
      <x:c r="M275" s="2" t="n">
        <x:f>ROUND(L275*(1-I275),2)</x:f>
        <x:v>5400</x:v>
      </x:c>
      <x:c r="N275" s="2" t="n">
        <x:f>G275*J275</x:f>
        <x:v>3600</x:v>
      </x:c>
      <x:c r="O275" s="2" t="n">
        <x:f>M275-N275-K275</x:f>
        <x:v>1680</x:v>
      </x:c>
      <x:c r="P275" s="1" t="str">
        <x:f>TEXT(B275,"yyyy-mm")</x:f>
        <x:v>2025-12</x:v>
      </x:c>
    </x:row>
    <x:row r="276">
      <x:c r="A276" s="1" t="str">
        <x:v>ORD-0272</x:v>
      </x:c>
      <x:c r="B276" s="4" t="d">
        <x:v>2025-04-16T00:00:00.000Z</x:v>
      </x:c>
      <x:c r="C276" s="1" t="str">
        <x:v>C-179</x:v>
      </x:c>
      <x:c r="D276" s="1" t="str">
        <x:v>East</x:v>
      </x:c>
      <x:c r="E276" s="1" t="str">
        <x:v>Home</x:v>
      </x:c>
      <x:c r="F276" s="1" t="str">
        <x:v>Desk lamp</x:v>
      </x:c>
      <x:c r="G276" s="1" t="n">
        <x:v>3</x:v>
      </x:c>
      <x:c r="H276" s="2" t="n">
        <x:v>1100</x:v>
      </x:c>
      <x:c r="I276" s="3" t="n">
        <x:v>0.1</x:v>
      </x:c>
      <x:c r="J276" s="2" t="n">
        <x:v>650</x:v>
      </x:c>
      <x:c r="K276" s="2" t="n">
        <x:v>50</x:v>
      </x:c>
      <x:c r="L276" s="2" t="n">
        <x:f>G276*H276</x:f>
        <x:v>3300</x:v>
      </x:c>
      <x:c r="M276" s="2" t="n">
        <x:f>ROUND(L276*(1-I276),2)</x:f>
        <x:v>2970</x:v>
      </x:c>
      <x:c r="N276" s="2" t="n">
        <x:f>G276*J276</x:f>
        <x:v>1950</x:v>
      </x:c>
      <x:c r="O276" s="2" t="n">
        <x:f>M276-N276-K276</x:f>
        <x:v>970</x:v>
      </x:c>
      <x:c r="P276" s="1" t="str">
        <x:f>TEXT(B276,"yyyy-mm")</x:f>
        <x:v>2025-04</x:v>
      </x:c>
    </x:row>
    <x:row r="277">
      <x:c r="A277" s="1" t="str">
        <x:v>ORD-0273</x:v>
      </x:c>
      <x:c r="B277" s="4" t="d">
        <x:v>2025-09-29T00:00:00.000Z</x:v>
      </x:c>
      <x:c r="C277" s="1" t="str">
        <x:v>C-203</x:v>
      </x:c>
      <x:c r="D277" s="1" t="str">
        <x:v>East</x:v>
      </x:c>
      <x:c r="E277" s="1" t="str">
        <x:v>Home</x:v>
      </x:c>
      <x:c r="F277" s="1" t="str">
        <x:v>Storage box</x:v>
      </x:c>
      <x:c r="G277" s="1" t="n">
        <x:v>2</x:v>
      </x:c>
      <x:c r="H277" s="2" t="n">
        <x:v>800</x:v>
      </x:c>
      <x:c r="I277" s="3" t="n">
        <x:v>0.15</x:v>
      </x:c>
      <x:c r="J277" s="2" t="n">
        <x:v>420</x:v>
      </x:c>
      <x:c r="K277" s="2" t="n">
        <x:v>80</x:v>
      </x:c>
      <x:c r="L277" s="2" t="n">
        <x:f>G277*H277</x:f>
        <x:v>1600</x:v>
      </x:c>
      <x:c r="M277" s="2" t="n">
        <x:f>ROUND(L277*(1-I277),2)</x:f>
        <x:v>1360</x:v>
      </x:c>
      <x:c r="N277" s="2" t="n">
        <x:f>G277*J277</x:f>
        <x:v>840</x:v>
      </x:c>
      <x:c r="O277" s="2" t="n">
        <x:f>M277-N277-K277</x:f>
        <x:v>440</x:v>
      </x:c>
      <x:c r="P277" s="1" t="str">
        <x:f>TEXT(B277,"yyyy-mm")</x:f>
        <x:v>2025-09</x:v>
      </x:c>
    </x:row>
    <x:row r="278">
      <x:c r="A278" s="1" t="str">
        <x:v>ORD-0274</x:v>
      </x:c>
      <x:c r="B278" s="4" t="d">
        <x:v>2025-01-30T00:00:00.000Z</x:v>
      </x:c>
      <x:c r="C278" s="1" t="str">
        <x:v>C-227</x:v>
      </x:c>
      <x:c r="D278" s="1" t="str">
        <x:v>East</x:v>
      </x:c>
      <x:c r="E278" s="1" t="str">
        <x:v>Electronics</x:v>
      </x:c>
      <x:c r="F278" s="1" t="str">
        <x:v>Keyboard</x:v>
      </x:c>
      <x:c r="G278" s="1" t="n">
        <x:v>4</x:v>
      </x:c>
      <x:c r="H278" s="2" t="n">
        <x:v>1500</x:v>
      </x:c>
      <x:c r="I278" s="3" t="n">
        <x:v>0.1</x:v>
      </x:c>
      <x:c r="J278" s="2" t="n">
        <x:v>900</x:v>
      </x:c>
      <x:c r="K278" s="2" t="n">
        <x:v>50</x:v>
      </x:c>
      <x:c r="L278" s="2" t="n">
        <x:f>G278*H278</x:f>
        <x:v>6000</x:v>
      </x:c>
      <x:c r="M278" s="2" t="n">
        <x:f>ROUND(L278*(1-I278),2)</x:f>
        <x:v>5400</x:v>
      </x:c>
      <x:c r="N278" s="2" t="n">
        <x:f>G278*J278</x:f>
        <x:v>3600</x:v>
      </x:c>
      <x:c r="O278" s="2" t="n">
        <x:f>M278-N278-K278</x:f>
        <x:v>1750</x:v>
      </x:c>
      <x:c r="P278" s="1" t="str">
        <x:f>TEXT(B278,"yyyy-mm")</x:f>
        <x:v>2025-01</x:v>
      </x:c>
    </x:row>
    <x:row r="279">
      <x:c r="A279" s="1" t="str">
        <x:v>ORD-0275</x:v>
      </x:c>
      <x:c r="B279" s="4" t="d">
        <x:v>2025-04-30T00:00:00.000Z</x:v>
      </x:c>
      <x:c r="C279" s="1" t="str">
        <x:v>C-288</x:v>
      </x:c>
      <x:c r="D279" s="1" t="str">
        <x:v>East</x:v>
      </x:c>
      <x:c r="E279" s="1" t="str">
        <x:v>Home</x:v>
      </x:c>
      <x:c r="F279" s="1" t="str">
        <x:v>Storage box</x:v>
      </x:c>
      <x:c r="G279" s="1" t="n">
        <x:v>2</x:v>
      </x:c>
      <x:c r="H279" s="2" t="n">
        <x:v>800</x:v>
      </x:c>
      <x:c r="I279" s="3" t="n">
        <x:v>0.1</x:v>
      </x:c>
      <x:c r="J279" s="2" t="n">
        <x:v>420</x:v>
      </x:c>
      <x:c r="K279" s="2" t="n">
        <x:v>50</x:v>
      </x:c>
      <x:c r="L279" s="2" t="n">
        <x:f>G279*H279</x:f>
        <x:v>1600</x:v>
      </x:c>
      <x:c r="M279" s="2" t="n">
        <x:f>ROUND(L279*(1-I279),2)</x:f>
        <x:v>1440</x:v>
      </x:c>
      <x:c r="N279" s="2" t="n">
        <x:f>G279*J279</x:f>
        <x:v>840</x:v>
      </x:c>
      <x:c r="O279" s="2" t="n">
        <x:f>M279-N279-K279</x:f>
        <x:v>550</x:v>
      </x:c>
      <x:c r="P279" s="1" t="str">
        <x:f>TEXT(B279,"yyyy-mm")</x:f>
        <x:v>2025-04</x:v>
      </x:c>
    </x:row>
    <x:row r="280">
      <x:c r="A280" s="1" t="str">
        <x:v>ORD-0276</x:v>
      </x:c>
      <x:c r="B280" s="4" t="d">
        <x:v>2025-09-02T00:00:00.000Z</x:v>
      </x:c>
      <x:c r="C280" s="1" t="str">
        <x:v>C-272</x:v>
      </x:c>
      <x:c r="D280" s="1" t="str">
        <x:v>South</x:v>
      </x:c>
      <x:c r="E280" s="1" t="str">
        <x:v>Fashion</x:v>
      </x:c>
      <x:c r="F280" s="1" t="str">
        <x:v>T-shirt</x:v>
      </x:c>
      <x:c r="G280" s="1" t="n">
        <x:v>2</x:v>
      </x:c>
      <x:c r="H280" s="2" t="n">
        <x:v>700</x:v>
      </x:c>
      <x:c r="I280" s="3" t="n">
        <x:v>0.05</x:v>
      </x:c>
      <x:c r="J280" s="2" t="n">
        <x:v>300</x:v>
      </x:c>
      <x:c r="K280" s="2" t="n">
        <x:v>50</x:v>
      </x:c>
      <x:c r="L280" s="2" t="n">
        <x:f>G280*H280</x:f>
        <x:v>1400</x:v>
      </x:c>
      <x:c r="M280" s="2" t="n">
        <x:f>ROUND(L280*(1-I280),2)</x:f>
        <x:v>1330</x:v>
      </x:c>
      <x:c r="N280" s="2" t="n">
        <x:f>G280*J280</x:f>
        <x:v>600</x:v>
      </x:c>
      <x:c r="O280" s="2" t="n">
        <x:f>M280-N280-K280</x:f>
        <x:v>680</x:v>
      </x:c>
      <x:c r="P280" s="1" t="str">
        <x:f>TEXT(B280,"yyyy-mm")</x:f>
        <x:v>2025-09</x:v>
      </x:c>
    </x:row>
    <x:row r="281">
      <x:c r="A281" s="1" t="str">
        <x:v>ORD-0277</x:v>
      </x:c>
      <x:c r="B281" s="4" t="d">
        <x:v>2025-02-16T00:00:00.000Z</x:v>
      </x:c>
      <x:c r="C281" s="1" t="str">
        <x:v>C-052</x:v>
      </x:c>
      <x:c r="D281" s="1" t="str">
        <x:v>South</x:v>
      </x:c>
      <x:c r="E281" s="1" t="str">
        <x:v>Fashion</x:v>
      </x:c>
      <x:c r="F281" s="1" t="str">
        <x:v>Backpack</x:v>
      </x:c>
      <x:c r="G281" s="1" t="n">
        <x:v>1</x:v>
      </x:c>
      <x:c r="H281" s="2" t="n">
        <x:v>1300</x:v>
      </x:c>
      <x:c r="I281" s="3" t="n">
        <x:v>0.35</x:v>
      </x:c>
      <x:c r="J281" s="2" t="n">
        <x:v>650</x:v>
      </x:c>
      <x:c r="K281" s="2" t="n">
        <x:v>120</x:v>
      </x:c>
      <x:c r="L281" s="2" t="n">
        <x:f>G281*H281</x:f>
        <x:v>1300</x:v>
      </x:c>
      <x:c r="M281" s="2" t="n">
        <x:f>ROUND(L281*(1-I281),2)</x:f>
        <x:v>845</x:v>
      </x:c>
      <x:c r="N281" s="2" t="n">
        <x:f>G281*J281</x:f>
        <x:v>650</x:v>
      </x:c>
      <x:c r="O281" s="2" t="n">
        <x:f>M281-N281-K281</x:f>
        <x:v>75</x:v>
      </x:c>
      <x:c r="P281" s="1" t="str">
        <x:f>TEXT(B281,"yyyy-mm")</x:f>
        <x:v>2025-02</x:v>
      </x:c>
    </x:row>
    <x:row r="282">
      <x:c r="A282" s="1" t="str">
        <x:v>ORD-0278</x:v>
      </x:c>
      <x:c r="B282" s="4" t="d">
        <x:v>2025-12-21T00:00:00.000Z</x:v>
      </x:c>
      <x:c r="C282" s="1" t="str">
        <x:v>C-244</x:v>
      </x:c>
      <x:c r="D282" s="1" t="str">
        <x:v>West</x:v>
      </x:c>
      <x:c r="E282" s="1" t="str">
        <x:v>Electronics</x:v>
      </x:c>
      <x:c r="F282" s="1" t="str">
        <x:v>Smartwatch</x:v>
      </x:c>
      <x:c r="G282" s="1" t="n">
        <x:v>2</x:v>
      </x:c>
      <x:c r="H282" s="2" t="n">
        <x:v>4200</x:v>
      </x:c>
      <x:c r="I282" s="3" t="n">
        <x:v>0.15</x:v>
      </x:c>
      <x:c r="J282" s="2" t="n">
        <x:v>3000</x:v>
      </x:c>
      <x:c r="K282" s="2" t="n">
        <x:v>80</x:v>
      </x:c>
      <x:c r="L282" s="2" t="n">
        <x:f>G282*H282</x:f>
        <x:v>8400</x:v>
      </x:c>
      <x:c r="M282" s="2" t="n">
        <x:f>ROUND(L282*(1-I282),2)</x:f>
        <x:v>7140</x:v>
      </x:c>
      <x:c r="N282" s="2" t="n">
        <x:f>G282*J282</x:f>
        <x:v>6000</x:v>
      </x:c>
      <x:c r="O282" s="2" t="n">
        <x:f>M282-N282-K282</x:f>
        <x:v>1060</x:v>
      </x:c>
      <x:c r="P282" s="1" t="str">
        <x:f>TEXT(B282,"yyyy-mm")</x:f>
        <x:v>2025-12</x:v>
      </x:c>
    </x:row>
    <x:row r="283">
      <x:c r="A283" s="1" t="str">
        <x:v>ORD-0279</x:v>
      </x:c>
      <x:c r="B283" s="4" t="d">
        <x:v>2025-05-21T00:00:00.000Z</x:v>
      </x:c>
      <x:c r="C283" s="1" t="str">
        <x:v>C-294</x:v>
      </x:c>
      <x:c r="D283" s="1" t="str">
        <x:v>South</x:v>
      </x:c>
      <x:c r="E283" s="1" t="str">
        <x:v>Electronics</x:v>
      </x:c>
      <x:c r="F283" s="1" t="str">
        <x:v>Headphones</x:v>
      </x:c>
      <x:c r="G283" s="1" t="n">
        <x:v>1</x:v>
      </x:c>
      <x:c r="H283" s="2" t="n">
        <x:v>2200</x:v>
      </x:c>
      <x:c r="I283" s="3" t="n">
        <x:v>0</x:v>
      </x:c>
      <x:c r="J283" s="2" t="n">
        <x:v>1450</x:v>
      </x:c>
      <x:c r="K283" s="2" t="n">
        <x:v>50</x:v>
      </x:c>
      <x:c r="L283" s="2" t="n">
        <x:f>G283*H283</x:f>
        <x:v>2200</x:v>
      </x:c>
      <x:c r="M283" s="2" t="n">
        <x:f>ROUND(L283*(1-I283),2)</x:f>
        <x:v>2200</x:v>
      </x:c>
      <x:c r="N283" s="2" t="n">
        <x:f>G283*J283</x:f>
        <x:v>1450</x:v>
      </x:c>
      <x:c r="O283" s="2" t="n">
        <x:f>M283-N283-K283</x:f>
        <x:v>700</x:v>
      </x:c>
      <x:c r="P283" s="1" t="str">
        <x:f>TEXT(B283,"yyyy-mm")</x:f>
        <x:v>2025-05</x:v>
      </x:c>
    </x:row>
    <x:row r="284">
      <x:c r="A284" s="1" t="str">
        <x:v>ORD-0280</x:v>
      </x:c>
      <x:c r="B284" s="4" t="d">
        <x:v>2025-07-27T00:00:00.000Z</x:v>
      </x:c>
      <x:c r="C284" s="1" t="str">
        <x:v>C-204</x:v>
      </x:c>
      <x:c r="D284" s="1" t="str">
        <x:v>West</x:v>
      </x:c>
      <x:c r="E284" s="1" t="str">
        <x:v>Electronics</x:v>
      </x:c>
      <x:c r="F284" s="1" t="str">
        <x:v>Smartwatch</x:v>
      </x:c>
      <x:c r="G284" s="1" t="n">
        <x:v>2</x:v>
      </x:c>
      <x:c r="H284" s="2" t="n">
        <x:v>4200</x:v>
      </x:c>
      <x:c r="I284" s="3" t="n">
        <x:v>0</x:v>
      </x:c>
      <x:c r="J284" s="2" t="n">
        <x:v>3000</x:v>
      </x:c>
      <x:c r="K284" s="2" t="n">
        <x:v>120</x:v>
      </x:c>
      <x:c r="L284" s="2" t="n">
        <x:f>G284*H284</x:f>
        <x:v>8400</x:v>
      </x:c>
      <x:c r="M284" s="2" t="n">
        <x:f>ROUND(L284*(1-I284),2)</x:f>
        <x:v>8400</x:v>
      </x:c>
      <x:c r="N284" s="2" t="n">
        <x:f>G284*J284</x:f>
        <x:v>6000</x:v>
      </x:c>
      <x:c r="O284" s="2" t="n">
        <x:f>M284-N284-K284</x:f>
        <x:v>2280</x:v>
      </x:c>
      <x:c r="P284" s="1" t="str">
        <x:f>TEXT(B284,"yyyy-mm")</x:f>
        <x:v>2025-07</x:v>
      </x:c>
    </x:row>
    <x:row r="285">
      <x:c r="A285" s="1" t="str">
        <x:v>ORD-0281</x:v>
      </x:c>
      <x:c r="B285" s="4" t="d">
        <x:v>2025-12-01T00:00:00.000Z</x:v>
      </x:c>
      <x:c r="C285" s="1" t="str">
        <x:v>C-153</x:v>
      </x:c>
      <x:c r="D285" s="1" t="str">
        <x:v>North</x:v>
      </x:c>
      <x:c r="E285" s="1" t="str">
        <x:v>Fashion</x:v>
      </x:c>
      <x:c r="F285" s="1" t="str">
        <x:v>Sneakers</x:v>
      </x:c>
      <x:c r="G285" s="1" t="n">
        <x:v>3</x:v>
      </x:c>
      <x:c r="H285" s="2" t="n">
        <x:v>2400</x:v>
      </x:c>
      <x:c r="I285" s="3" t="n">
        <x:v>0</x:v>
      </x:c>
      <x:c r="J285" s="2" t="n">
        <x:v>1200</x:v>
      </x:c>
      <x:c r="K285" s="2" t="n">
        <x:v>80</x:v>
      </x:c>
      <x:c r="L285" s="2" t="n">
        <x:f>G285*H285</x:f>
        <x:v>7200</x:v>
      </x:c>
      <x:c r="M285" s="2" t="n">
        <x:f>ROUND(L285*(1-I285),2)</x:f>
        <x:v>7200</x:v>
      </x:c>
      <x:c r="N285" s="2" t="n">
        <x:f>G285*J285</x:f>
        <x:v>3600</x:v>
      </x:c>
      <x:c r="O285" s="2" t="n">
        <x:f>M285-N285-K285</x:f>
        <x:v>3520</x:v>
      </x:c>
      <x:c r="P285" s="1" t="str">
        <x:f>TEXT(B285,"yyyy-mm")</x:f>
        <x:v>2025-12</x:v>
      </x:c>
    </x:row>
    <x:row r="286">
      <x:c r="A286" s="1" t="str">
        <x:v>ORD-0282</x:v>
      </x:c>
      <x:c r="B286" s="4" t="d">
        <x:v>2025-07-16T00:00:00.000Z</x:v>
      </x:c>
      <x:c r="C286" s="1" t="str">
        <x:v>C-069</x:v>
      </x:c>
      <x:c r="D286" s="1" t="str">
        <x:v>West</x:v>
      </x:c>
      <x:c r="E286" s="1" t="str">
        <x:v>Home</x:v>
      </x:c>
      <x:c r="F286" s="1" t="str">
        <x:v>Storage box</x:v>
      </x:c>
      <x:c r="G286" s="1" t="n">
        <x:v>3</x:v>
      </x:c>
      <x:c r="H286" s="2" t="n">
        <x:v>800</x:v>
      </x:c>
      <x:c r="I286" s="3" t="n">
        <x:v>0.25</x:v>
      </x:c>
      <x:c r="J286" s="2" t="n">
        <x:v>420</x:v>
      </x:c>
      <x:c r="K286" s="2" t="n">
        <x:v>50</x:v>
      </x:c>
      <x:c r="L286" s="2" t="n">
        <x:f>G286*H286</x:f>
        <x:v>2400</x:v>
      </x:c>
      <x:c r="M286" s="2" t="n">
        <x:f>ROUND(L286*(1-I286),2)</x:f>
        <x:v>1800</x:v>
      </x:c>
      <x:c r="N286" s="2" t="n">
        <x:f>G286*J286</x:f>
        <x:v>1260</x:v>
      </x:c>
      <x:c r="O286" s="2" t="n">
        <x:f>M286-N286-K286</x:f>
        <x:v>490</x:v>
      </x:c>
      <x:c r="P286" s="1" t="str">
        <x:f>TEXT(B286,"yyyy-mm")</x:f>
        <x:v>2025-07</x:v>
      </x:c>
    </x:row>
    <x:row r="287">
      <x:c r="A287" s="1" t="str">
        <x:v>ORD-0283</x:v>
      </x:c>
      <x:c r="B287" s="4" t="d">
        <x:v>2025-11-24T00:00:00.000Z</x:v>
      </x:c>
      <x:c r="C287" s="1" t="str">
        <x:v>C-235</x:v>
      </x:c>
      <x:c r="D287" s="1" t="str">
        <x:v>East</x:v>
      </x:c>
      <x:c r="E287" s="1" t="str">
        <x:v>Fashion</x:v>
      </x:c>
      <x:c r="F287" s="1" t="str">
        <x:v>Backpack</x:v>
      </x:c>
      <x:c r="G287" s="1" t="n">
        <x:v>2</x:v>
      </x:c>
      <x:c r="H287" s="2" t="n">
        <x:v>1300</x:v>
      </x:c>
      <x:c r="I287" s="3" t="n">
        <x:v>0.05</x:v>
      </x:c>
      <x:c r="J287" s="2" t="n">
        <x:v>650</x:v>
      </x:c>
      <x:c r="K287" s="2" t="n">
        <x:v>50</x:v>
      </x:c>
      <x:c r="L287" s="2" t="n">
        <x:f>G287*H287</x:f>
        <x:v>2600</x:v>
      </x:c>
      <x:c r="M287" s="2" t="n">
        <x:f>ROUND(L287*(1-I287),2)</x:f>
        <x:v>2470</x:v>
      </x:c>
      <x:c r="N287" s="2" t="n">
        <x:f>G287*J287</x:f>
        <x:v>1300</x:v>
      </x:c>
      <x:c r="O287" s="2" t="n">
        <x:f>M287-N287-K287</x:f>
        <x:v>1120</x:v>
      </x:c>
      <x:c r="P287" s="1" t="str">
        <x:f>TEXT(B287,"yyyy-mm")</x:f>
        <x:v>2025-11</x:v>
      </x:c>
    </x:row>
    <x:row r="288">
      <x:c r="A288" s="1" t="str">
        <x:v>ORD-0284</x:v>
      </x:c>
      <x:c r="B288" s="4" t="d">
        <x:v>2025-10-22T00:00:00.000Z</x:v>
      </x:c>
      <x:c r="C288" s="1" t="str">
        <x:v>C-099</x:v>
      </x:c>
      <x:c r="D288" s="1" t="str">
        <x:v>South</x:v>
      </x:c>
      <x:c r="E288" s="1" t="str">
        <x:v>Fashion</x:v>
      </x:c>
      <x:c r="F288" s="1" t="str">
        <x:v>Sneakers</x:v>
      </x:c>
      <x:c r="G288" s="1" t="n">
        <x:v>4</x:v>
      </x:c>
      <x:c r="H288" s="2" t="n">
        <x:v>2400</x:v>
      </x:c>
      <x:c r="I288" s="3" t="n">
        <x:v>0.25</x:v>
      </x:c>
      <x:c r="J288" s="2" t="n">
        <x:v>1200</x:v>
      </x:c>
      <x:c r="K288" s="2" t="n">
        <x:v>80</x:v>
      </x:c>
      <x:c r="L288" s="2" t="n">
        <x:f>G288*H288</x:f>
        <x:v>9600</x:v>
      </x:c>
      <x:c r="M288" s="2" t="n">
        <x:f>ROUND(L288*(1-I288),2)</x:f>
        <x:v>7200</x:v>
      </x:c>
      <x:c r="N288" s="2" t="n">
        <x:f>G288*J288</x:f>
        <x:v>4800</x:v>
      </x:c>
      <x:c r="O288" s="2" t="n">
        <x:f>M288-N288-K288</x:f>
        <x:v>2320</x:v>
      </x:c>
      <x:c r="P288" s="1" t="str">
        <x:f>TEXT(B288,"yyyy-mm")</x:f>
        <x:v>2025-10</x:v>
      </x:c>
    </x:row>
    <x:row r="289">
      <x:c r="A289" s="1" t="str">
        <x:v>ORD-0285</x:v>
      </x:c>
      <x:c r="B289" s="4" t="d">
        <x:v>2025-08-22T00:00:00.000Z</x:v>
      </x:c>
      <x:c r="C289" s="1" t="str">
        <x:v>C-049</x:v>
      </x:c>
      <x:c r="D289" s="1" t="str">
        <x:v>South</x:v>
      </x:c>
      <x:c r="E289" s="1" t="str">
        <x:v>Electronics</x:v>
      </x:c>
      <x:c r="F289" s="1" t="str">
        <x:v>Keyboard</x:v>
      </x:c>
      <x:c r="G289" s="1" t="n">
        <x:v>2</x:v>
      </x:c>
      <x:c r="H289" s="2" t="n">
        <x:v>1500</x:v>
      </x:c>
      <x:c r="I289" s="3" t="n">
        <x:v>0.15</x:v>
      </x:c>
      <x:c r="J289" s="2" t="n">
        <x:v>900</x:v>
      </x:c>
      <x:c r="K289" s="2" t="n">
        <x:v>80</x:v>
      </x:c>
      <x:c r="L289" s="2" t="n">
        <x:f>G289*H289</x:f>
        <x:v>3000</x:v>
      </x:c>
      <x:c r="M289" s="2" t="n">
        <x:f>ROUND(L289*(1-I289),2)</x:f>
        <x:v>2550</x:v>
      </x:c>
      <x:c r="N289" s="2" t="n">
        <x:f>G289*J289</x:f>
        <x:v>1800</x:v>
      </x:c>
      <x:c r="O289" s="2" t="n">
        <x:f>M289-N289-K289</x:f>
        <x:v>670</x:v>
      </x:c>
      <x:c r="P289" s="1" t="str">
        <x:f>TEXT(B289,"yyyy-mm")</x:f>
        <x:v>2025-08</x:v>
      </x:c>
    </x:row>
    <x:row r="290">
      <x:c r="A290" s="1" t="str">
        <x:v>ORD-0286</x:v>
      </x:c>
      <x:c r="B290" s="4" t="d">
        <x:v>2025-05-09T00:00:00.000Z</x:v>
      </x:c>
      <x:c r="C290" s="1" t="str">
        <x:v>C-197</x:v>
      </x:c>
      <x:c r="D290" s="1" t="str">
        <x:v>South</x:v>
      </x:c>
      <x:c r="E290" s="1" t="str">
        <x:v>Fashion</x:v>
      </x:c>
      <x:c r="F290" s="1" t="str">
        <x:v>T-shirt</x:v>
      </x:c>
      <x:c r="G290" s="1" t="n">
        <x:v>4</x:v>
      </x:c>
      <x:c r="H290" s="2" t="n">
        <x:v>700</x:v>
      </x:c>
      <x:c r="I290" s="3" t="n">
        <x:v>0</x:v>
      </x:c>
      <x:c r="J290" s="2" t="n">
        <x:v>300</x:v>
      </x:c>
      <x:c r="K290" s="2" t="n">
        <x:v>80</x:v>
      </x:c>
      <x:c r="L290" s="2" t="n">
        <x:f>G290*H290</x:f>
        <x:v>2800</x:v>
      </x:c>
      <x:c r="M290" s="2" t="n">
        <x:f>ROUND(L290*(1-I290),2)</x:f>
        <x:v>2800</x:v>
      </x:c>
      <x:c r="N290" s="2" t="n">
        <x:f>G290*J290</x:f>
        <x:v>1200</x:v>
      </x:c>
      <x:c r="O290" s="2" t="n">
        <x:f>M290-N290-K290</x:f>
        <x:v>1520</x:v>
      </x:c>
      <x:c r="P290" s="1" t="str">
        <x:f>TEXT(B290,"yyyy-mm")</x:f>
        <x:v>2025-05</x:v>
      </x:c>
    </x:row>
    <x:row r="291">
      <x:c r="A291" s="1" t="str">
        <x:v>ORD-0287</x:v>
      </x:c>
      <x:c r="B291" s="4" t="d">
        <x:v>2025-12-24T00:00:00.000Z</x:v>
      </x:c>
      <x:c r="C291" s="1" t="str">
        <x:v>C-294</x:v>
      </x:c>
      <x:c r="D291" s="1" t="str">
        <x:v>North</x:v>
      </x:c>
      <x:c r="E291" s="1" t="str">
        <x:v>Fashion</x:v>
      </x:c>
      <x:c r="F291" s="1" t="str">
        <x:v>Sneakers</x:v>
      </x:c>
      <x:c r="G291" s="1" t="n">
        <x:v>3</x:v>
      </x:c>
      <x:c r="H291" s="2" t="n">
        <x:v>2400</x:v>
      </x:c>
      <x:c r="I291" s="3" t="n">
        <x:v>0.25</x:v>
      </x:c>
      <x:c r="J291" s="2" t="n">
        <x:v>1200</x:v>
      </x:c>
      <x:c r="K291" s="2" t="n">
        <x:v>120</x:v>
      </x:c>
      <x:c r="L291" s="2" t="n">
        <x:f>G291*H291</x:f>
        <x:v>7200</x:v>
      </x:c>
      <x:c r="M291" s="2" t="n">
        <x:f>ROUND(L291*(1-I291),2)</x:f>
        <x:v>5400</x:v>
      </x:c>
      <x:c r="N291" s="2" t="n">
        <x:f>G291*J291</x:f>
        <x:v>3600</x:v>
      </x:c>
      <x:c r="O291" s="2" t="n">
        <x:f>M291-N291-K291</x:f>
        <x:v>1680</x:v>
      </x:c>
      <x:c r="P291" s="1" t="str">
        <x:f>TEXT(B291,"yyyy-mm")</x:f>
        <x:v>2025-12</x:v>
      </x:c>
    </x:row>
    <x:row r="292">
      <x:c r="A292" s="1" t="str">
        <x:v>ORD-0288</x:v>
      </x:c>
      <x:c r="B292" s="4" t="d">
        <x:v>2025-06-22T00:00:00.000Z</x:v>
      </x:c>
      <x:c r="C292" s="1" t="str">
        <x:v>C-061</x:v>
      </x:c>
      <x:c r="D292" s="1" t="str">
        <x:v>West</x:v>
      </x:c>
      <x:c r="E292" s="1" t="str">
        <x:v>Fashion</x:v>
      </x:c>
      <x:c r="F292" s="1" t="str">
        <x:v>T-shirt</x:v>
      </x:c>
      <x:c r="G292" s="1" t="n">
        <x:v>3</x:v>
      </x:c>
      <x:c r="H292" s="2" t="n">
        <x:v>700</x:v>
      </x:c>
      <x:c r="I292" s="3" t="n">
        <x:v>0</x:v>
      </x:c>
      <x:c r="J292" s="2" t="n">
        <x:v>300</x:v>
      </x:c>
      <x:c r="K292" s="2" t="n">
        <x:v>50</x:v>
      </x:c>
      <x:c r="L292" s="2" t="n">
        <x:f>G292*H292</x:f>
        <x:v>2100</x:v>
      </x:c>
      <x:c r="M292" s="2" t="n">
        <x:f>ROUND(L292*(1-I292),2)</x:f>
        <x:v>2100</x:v>
      </x:c>
      <x:c r="N292" s="2" t="n">
        <x:f>G292*J292</x:f>
        <x:v>900</x:v>
      </x:c>
      <x:c r="O292" s="2" t="n">
        <x:f>M292-N292-K292</x:f>
        <x:v>1150</x:v>
      </x:c>
      <x:c r="P292" s="1" t="str">
        <x:f>TEXT(B292,"yyyy-mm")</x:f>
        <x:v>2025-06</x:v>
      </x:c>
    </x:row>
    <x:row r="293">
      <x:c r="A293" s="1" t="str">
        <x:v>ORD-0289</x:v>
      </x:c>
      <x:c r="B293" s="4" t="d">
        <x:v>2025-06-25T00:00:00.000Z</x:v>
      </x:c>
      <x:c r="C293" s="1" t="str">
        <x:v>C-160</x:v>
      </x:c>
      <x:c r="D293" s="1" t="str">
        <x:v>North</x:v>
      </x:c>
      <x:c r="E293" s="1" t="str">
        <x:v>Home</x:v>
      </x:c>
      <x:c r="F293" s="1" t="str">
        <x:v>Storage box</x:v>
      </x:c>
      <x:c r="G293" s="1" t="n">
        <x:v>3</x:v>
      </x:c>
      <x:c r="H293" s="2" t="n">
        <x:v>800</x:v>
      </x:c>
      <x:c r="I293" s="3" t="n">
        <x:v>0.35</x:v>
      </x:c>
      <x:c r="J293" s="2" t="n">
        <x:v>420</x:v>
      </x:c>
      <x:c r="K293" s="2" t="n">
        <x:v>80</x:v>
      </x:c>
      <x:c r="L293" s="2" t="n">
        <x:f>G293*H293</x:f>
        <x:v>2400</x:v>
      </x:c>
      <x:c r="M293" s="2" t="n">
        <x:f>ROUND(L293*(1-I293),2)</x:f>
        <x:v>1560</x:v>
      </x:c>
      <x:c r="N293" s="2" t="n">
        <x:f>G293*J293</x:f>
        <x:v>1260</x:v>
      </x:c>
      <x:c r="O293" s="2" t="n">
        <x:f>M293-N293-K293</x:f>
        <x:v>220</x:v>
      </x:c>
      <x:c r="P293" s="1" t="str">
        <x:f>TEXT(B293,"yyyy-mm")</x:f>
        <x:v>2025-06</x:v>
      </x:c>
    </x:row>
    <x:row r="294">
      <x:c r="A294" s="1" t="str">
        <x:v>ORD-0290</x:v>
      </x:c>
      <x:c r="B294" s="4" t="d">
        <x:v>2025-09-16T00:00:00.000Z</x:v>
      </x:c>
      <x:c r="C294" s="1" t="str">
        <x:v>C-079</x:v>
      </x:c>
      <x:c r="D294" s="1" t="str">
        <x:v>West</x:v>
      </x:c>
      <x:c r="E294" s="1" t="str">
        <x:v>Fashion</x:v>
      </x:c>
      <x:c r="F294" s="1" t="str">
        <x:v>T-shirt</x:v>
      </x:c>
      <x:c r="G294" s="1" t="n">
        <x:v>3</x:v>
      </x:c>
      <x:c r="H294" s="2" t="n">
        <x:v>700</x:v>
      </x:c>
      <x:c r="I294" s="3" t="n">
        <x:v>0.05</x:v>
      </x:c>
      <x:c r="J294" s="2" t="n">
        <x:v>300</x:v>
      </x:c>
      <x:c r="K294" s="2" t="n">
        <x:v>80</x:v>
      </x:c>
      <x:c r="L294" s="2" t="n">
        <x:f>G294*H294</x:f>
        <x:v>2100</x:v>
      </x:c>
      <x:c r="M294" s="2" t="n">
        <x:f>ROUND(L294*(1-I294),2)</x:f>
        <x:v>1995</x:v>
      </x:c>
      <x:c r="N294" s="2" t="n">
        <x:f>G294*J294</x:f>
        <x:v>900</x:v>
      </x:c>
      <x:c r="O294" s="2" t="n">
        <x:f>M294-N294-K294</x:f>
        <x:v>1015</x:v>
      </x:c>
      <x:c r="P294" s="1" t="str">
        <x:f>TEXT(B294,"yyyy-mm")</x:f>
        <x:v>2025-09</x:v>
      </x:c>
    </x:row>
    <x:row r="295">
      <x:c r="A295" s="1" t="str">
        <x:v>ORD-0291</x:v>
      </x:c>
      <x:c r="B295" s="4" t="d">
        <x:v>2025-10-26T00:00:00.000Z</x:v>
      </x:c>
      <x:c r="C295" s="1" t="str">
        <x:v>C-112</x:v>
      </x:c>
      <x:c r="D295" s="1" t="str">
        <x:v>South</x:v>
      </x:c>
      <x:c r="E295" s="1" t="str">
        <x:v>Home</x:v>
      </x:c>
      <x:c r="F295" s="1" t="str">
        <x:v>Desk lamp</x:v>
      </x:c>
      <x:c r="G295" s="1" t="n">
        <x:v>1</x:v>
      </x:c>
      <x:c r="H295" s="2" t="n">
        <x:v>1100</x:v>
      </x:c>
      <x:c r="I295" s="3" t="n">
        <x:v>0.25</x:v>
      </x:c>
      <x:c r="J295" s="2" t="n">
        <x:v>650</x:v>
      </x:c>
      <x:c r="K295" s="2" t="n">
        <x:v>120</x:v>
      </x:c>
      <x:c r="L295" s="2" t="n">
        <x:f>G295*H295</x:f>
        <x:v>1100</x:v>
      </x:c>
      <x:c r="M295" s="2" t="n">
        <x:f>ROUND(L295*(1-I295),2)</x:f>
        <x:v>825</x:v>
      </x:c>
      <x:c r="N295" s="2" t="n">
        <x:f>G295*J295</x:f>
        <x:v>650</x:v>
      </x:c>
      <x:c r="O295" s="2" t="n">
        <x:f>M295-N295-K295</x:f>
        <x:v>55</x:v>
      </x:c>
      <x:c r="P295" s="1" t="str">
        <x:f>TEXT(B295,"yyyy-mm")</x:f>
        <x:v>2025-10</x:v>
      </x:c>
    </x:row>
    <x:row r="296">
      <x:c r="A296" s="1" t="str">
        <x:v>ORD-0292</x:v>
      </x:c>
      <x:c r="B296" s="4" t="d">
        <x:v>2025-07-30T00:00:00.000Z</x:v>
      </x:c>
      <x:c r="C296" s="1" t="str">
        <x:v>C-289</x:v>
      </x:c>
      <x:c r="D296" s="1" t="str">
        <x:v>North</x:v>
      </x:c>
      <x:c r="E296" s="1" t="str">
        <x:v>Fashion</x:v>
      </x:c>
      <x:c r="F296" s="1" t="str">
        <x:v>Backpack</x:v>
      </x:c>
      <x:c r="G296" s="1" t="n">
        <x:v>1</x:v>
      </x:c>
      <x:c r="H296" s="2" t="n">
        <x:v>1300</x:v>
      </x:c>
      <x:c r="I296" s="3" t="n">
        <x:v>0</x:v>
      </x:c>
      <x:c r="J296" s="2" t="n">
        <x:v>650</x:v>
      </x:c>
      <x:c r="K296" s="2" t="n">
        <x:v>120</x:v>
      </x:c>
      <x:c r="L296" s="2" t="n">
        <x:f>G296*H296</x:f>
        <x:v>1300</x:v>
      </x:c>
      <x:c r="M296" s="2" t="n">
        <x:f>ROUND(L296*(1-I296),2)</x:f>
        <x:v>1300</x:v>
      </x:c>
      <x:c r="N296" s="2" t="n">
        <x:f>G296*J296</x:f>
        <x:v>650</x:v>
      </x:c>
      <x:c r="O296" s="2" t="n">
        <x:f>M296-N296-K296</x:f>
        <x:v>530</x:v>
      </x:c>
      <x:c r="P296" s="1" t="str">
        <x:f>TEXT(B296,"yyyy-mm")</x:f>
        <x:v>2025-07</x:v>
      </x:c>
    </x:row>
    <x:row r="297">
      <x:c r="A297" s="1" t="str">
        <x:v>ORD-0293</x:v>
      </x:c>
      <x:c r="B297" s="4" t="d">
        <x:v>2025-12-18T00:00:00.000Z</x:v>
      </x:c>
      <x:c r="C297" s="1" t="str">
        <x:v>C-077</x:v>
      </x:c>
      <x:c r="D297" s="1" t="str">
        <x:v>South</x:v>
      </x:c>
      <x:c r="E297" s="1" t="str">
        <x:v>Fashion</x:v>
      </x:c>
      <x:c r="F297" s="1" t="str">
        <x:v>T-shirt</x:v>
      </x:c>
      <x:c r="G297" s="1" t="n">
        <x:v>3</x:v>
      </x:c>
      <x:c r="H297" s="2" t="n">
        <x:v>700</x:v>
      </x:c>
      <x:c r="I297" s="3" t="n">
        <x:v>0.25</x:v>
      </x:c>
      <x:c r="J297" s="2" t="n">
        <x:v>300</x:v>
      </x:c>
      <x:c r="K297" s="2" t="n">
        <x:v>120</x:v>
      </x:c>
      <x:c r="L297" s="2" t="n">
        <x:f>G297*H297</x:f>
        <x:v>2100</x:v>
      </x:c>
      <x:c r="M297" s="2" t="n">
        <x:f>ROUND(L297*(1-I297),2)</x:f>
        <x:v>1575</x:v>
      </x:c>
      <x:c r="N297" s="2" t="n">
        <x:f>G297*J297</x:f>
        <x:v>900</x:v>
      </x:c>
      <x:c r="O297" s="2" t="n">
        <x:f>M297-N297-K297</x:f>
        <x:v>555</x:v>
      </x:c>
      <x:c r="P297" s="1" t="str">
        <x:f>TEXT(B297,"yyyy-mm")</x:f>
        <x:v>2025-12</x:v>
      </x:c>
    </x:row>
    <x:row r="298">
      <x:c r="A298" s="1" t="str">
        <x:v>ORD-0294</x:v>
      </x:c>
      <x:c r="B298" s="4" t="d">
        <x:v>2025-07-19T00:00:00.000Z</x:v>
      </x:c>
      <x:c r="C298" s="1" t="str">
        <x:v>C-251</x:v>
      </x:c>
      <x:c r="D298" s="1" t="str">
        <x:v>North</x:v>
      </x:c>
      <x:c r="E298" s="1" t="str">
        <x:v>Fashion</x:v>
      </x:c>
      <x:c r="F298" s="1" t="str">
        <x:v>T-shirt</x:v>
      </x:c>
      <x:c r="G298" s="1" t="n">
        <x:v>4</x:v>
      </x:c>
      <x:c r="H298" s="2" t="n">
        <x:v>700</x:v>
      </x:c>
      <x:c r="I298" s="3" t="n">
        <x:v>0.35</x:v>
      </x:c>
      <x:c r="J298" s="2" t="n">
        <x:v>300</x:v>
      </x:c>
      <x:c r="K298" s="2" t="n">
        <x:v>50</x:v>
      </x:c>
      <x:c r="L298" s="2" t="n">
        <x:f>G298*H298</x:f>
        <x:v>2800</x:v>
      </x:c>
      <x:c r="M298" s="2" t="n">
        <x:f>ROUND(L298*(1-I298),2)</x:f>
        <x:v>1820</x:v>
      </x:c>
      <x:c r="N298" s="2" t="n">
        <x:f>G298*J298</x:f>
        <x:v>1200</x:v>
      </x:c>
      <x:c r="O298" s="2" t="n">
        <x:f>M298-N298-K298</x:f>
        <x:v>570</x:v>
      </x:c>
      <x:c r="P298" s="1" t="str">
        <x:f>TEXT(B298,"yyyy-mm")</x:f>
        <x:v>2025-07</x:v>
      </x:c>
    </x:row>
    <x:row r="299">
      <x:c r="A299" s="1" t="str">
        <x:v>ORD-0295</x:v>
      </x:c>
      <x:c r="B299" s="4" t="d">
        <x:v>2025-07-15T00:00:00.000Z</x:v>
      </x:c>
      <x:c r="C299" s="1" t="str">
        <x:v>C-289</x:v>
      </x:c>
      <x:c r="D299" s="1" t="str">
        <x:v>North</x:v>
      </x:c>
      <x:c r="E299" s="1" t="str">
        <x:v>Home</x:v>
      </x:c>
      <x:c r="F299" s="1" t="str">
        <x:v>Storage box</x:v>
      </x:c>
      <x:c r="G299" s="1" t="n">
        <x:v>4</x:v>
      </x:c>
      <x:c r="H299" s="2" t="n">
        <x:v>800</x:v>
      </x:c>
      <x:c r="I299" s="3" t="n">
        <x:v>0.15</x:v>
      </x:c>
      <x:c r="J299" s="2" t="n">
        <x:v>420</x:v>
      </x:c>
      <x:c r="K299" s="2" t="n">
        <x:v>120</x:v>
      </x:c>
      <x:c r="L299" s="2" t="n">
        <x:f>G299*H299</x:f>
        <x:v>3200</x:v>
      </x:c>
      <x:c r="M299" s="2" t="n">
        <x:f>ROUND(L299*(1-I299),2)</x:f>
        <x:v>2720</x:v>
      </x:c>
      <x:c r="N299" s="2" t="n">
        <x:f>G299*J299</x:f>
        <x:v>1680</x:v>
      </x:c>
      <x:c r="O299" s="2" t="n">
        <x:f>M299-N299-K299</x:f>
        <x:v>920</x:v>
      </x:c>
      <x:c r="P299" s="1" t="str">
        <x:f>TEXT(B299,"yyyy-mm")</x:f>
        <x:v>2025-07</x:v>
      </x:c>
    </x:row>
    <x:row r="300">
      <x:c r="A300" s="1" t="str">
        <x:v>ORD-0296</x:v>
      </x:c>
      <x:c r="B300" s="4" t="d">
        <x:v>2025-11-09T00:00:00.000Z</x:v>
      </x:c>
      <x:c r="C300" s="1" t="str">
        <x:v>C-002</x:v>
      </x:c>
      <x:c r="D300" s="1" t="str">
        <x:v>South</x:v>
      </x:c>
      <x:c r="E300" s="1" t="str">
        <x:v>Electronics</x:v>
      </x:c>
      <x:c r="F300" s="1" t="str">
        <x:v>Headphones</x:v>
      </x:c>
      <x:c r="G300" s="1" t="n">
        <x:v>1</x:v>
      </x:c>
      <x:c r="H300" s="2" t="n">
        <x:v>2200</x:v>
      </x:c>
      <x:c r="I300" s="3" t="n">
        <x:v>0.15</x:v>
      </x:c>
      <x:c r="J300" s="2" t="n">
        <x:v>1450</x:v>
      </x:c>
      <x:c r="K300" s="2" t="n">
        <x:v>50</x:v>
      </x:c>
      <x:c r="L300" s="2" t="n">
        <x:f>G300*H300</x:f>
        <x:v>2200</x:v>
      </x:c>
      <x:c r="M300" s="2" t="n">
        <x:f>ROUND(L300*(1-I300),2)</x:f>
        <x:v>1870</x:v>
      </x:c>
      <x:c r="N300" s="2" t="n">
        <x:f>G300*J300</x:f>
        <x:v>1450</x:v>
      </x:c>
      <x:c r="O300" s="2" t="n">
        <x:f>M300-N300-K300</x:f>
        <x:v>370</x:v>
      </x:c>
      <x:c r="P300" s="1" t="str">
        <x:f>TEXT(B300,"yyyy-mm")</x:f>
        <x:v>2025-11</x:v>
      </x:c>
    </x:row>
    <x:row r="301">
      <x:c r="A301" s="1" t="str">
        <x:v>ORD-0297</x:v>
      </x:c>
      <x:c r="B301" s="4" t="d">
        <x:v>2025-07-02T00:00:00.000Z</x:v>
      </x:c>
      <x:c r="C301" s="1" t="str">
        <x:v>C-036</x:v>
      </x:c>
      <x:c r="D301" s="1" t="str">
        <x:v>West</x:v>
      </x:c>
      <x:c r="E301" s="1" t="str">
        <x:v>Electronics</x:v>
      </x:c>
      <x:c r="F301" s="1" t="str">
        <x:v>Keyboard</x:v>
      </x:c>
      <x:c r="G301" s="1" t="n">
        <x:v>1</x:v>
      </x:c>
      <x:c r="H301" s="2" t="n">
        <x:v>1500</x:v>
      </x:c>
      <x:c r="I301" s="3" t="n">
        <x:v>0.25</x:v>
      </x:c>
      <x:c r="J301" s="2" t="n">
        <x:v>900</x:v>
      </x:c>
      <x:c r="K301" s="2" t="n">
        <x:v>80</x:v>
      </x:c>
      <x:c r="L301" s="2" t="n">
        <x:f>G301*H301</x:f>
        <x:v>1500</x:v>
      </x:c>
      <x:c r="M301" s="2" t="n">
        <x:f>ROUND(L301*(1-I301),2)</x:f>
        <x:v>1125</x:v>
      </x:c>
      <x:c r="N301" s="2" t="n">
        <x:f>G301*J301</x:f>
        <x:v>900</x:v>
      </x:c>
      <x:c r="O301" s="2" t="n">
        <x:f>M301-N301-K301</x:f>
        <x:v>145</x:v>
      </x:c>
      <x:c r="P301" s="1" t="str">
        <x:f>TEXT(B301,"yyyy-mm")</x:f>
        <x:v>2025-07</x:v>
      </x:c>
    </x:row>
    <x:row r="302">
      <x:c r="A302" s="1" t="str">
        <x:v>ORD-0298</x:v>
      </x:c>
      <x:c r="B302" s="4" t="d">
        <x:v>2025-06-24T00:00:00.000Z</x:v>
      </x:c>
      <x:c r="C302" s="1" t="str">
        <x:v>C-216</x:v>
      </x:c>
      <x:c r="D302" s="1" t="str">
        <x:v>East</x:v>
      </x:c>
      <x:c r="E302" s="1" t="str">
        <x:v>Electronics</x:v>
      </x:c>
      <x:c r="F302" s="1" t="str">
        <x:v>Smartwatch</x:v>
      </x:c>
      <x:c r="G302" s="1" t="n">
        <x:v>4</x:v>
      </x:c>
      <x:c r="H302" s="2" t="n">
        <x:v>4200</x:v>
      </x:c>
      <x:c r="I302" s="3" t="n">
        <x:v>0.35</x:v>
      </x:c>
      <x:c r="J302" s="2" t="n">
        <x:v>3000</x:v>
      </x:c>
      <x:c r="K302" s="2" t="n">
        <x:v>80</x:v>
      </x:c>
      <x:c r="L302" s="2" t="n">
        <x:f>G302*H302</x:f>
        <x:v>16800</x:v>
      </x:c>
      <x:c r="M302" s="2" t="n">
        <x:f>ROUND(L302*(1-I302),2)</x:f>
        <x:v>10920</x:v>
      </x:c>
      <x:c r="N302" s="2" t="n">
        <x:f>G302*J302</x:f>
        <x:v>12000</x:v>
      </x:c>
      <x:c r="O302" s="2" t="n">
        <x:f>M302-N302-K302</x:f>
        <x:v>-1160</x:v>
      </x:c>
      <x:c r="P302" s="1" t="str">
        <x:f>TEXT(B302,"yyyy-mm")</x:f>
        <x:v>2025-06</x:v>
      </x:c>
    </x:row>
    <x:row r="303">
      <x:c r="A303" s="1" t="str">
        <x:v>ORD-0299</x:v>
      </x:c>
      <x:c r="B303" s="4" t="d">
        <x:v>2025-11-03T00:00:00.000Z</x:v>
      </x:c>
      <x:c r="C303" s="1" t="str">
        <x:v>C-277</x:v>
      </x:c>
      <x:c r="D303" s="1" t="str">
        <x:v>South</x:v>
      </x:c>
      <x:c r="E303" s="1" t="str">
        <x:v>Home</x:v>
      </x:c>
      <x:c r="F303" s="1" t="str">
        <x:v>Office chair</x:v>
      </x:c>
      <x:c r="G303" s="1" t="n">
        <x:v>3</x:v>
      </x:c>
      <x:c r="H303" s="2" t="n">
        <x:v>5500</x:v>
      </x:c>
      <x:c r="I303" s="3" t="n">
        <x:v>0.15</x:v>
      </x:c>
      <x:c r="J303" s="2" t="n">
        <x:v>4400</x:v>
      </x:c>
      <x:c r="K303" s="2" t="n">
        <x:v>50</x:v>
      </x:c>
      <x:c r="L303" s="2" t="n">
        <x:f>G303*H303</x:f>
        <x:v>16500</x:v>
      </x:c>
      <x:c r="M303" s="2" t="n">
        <x:f>ROUND(L303*(1-I303),2)</x:f>
        <x:v>14025</x:v>
      </x:c>
      <x:c r="N303" s="2" t="n">
        <x:f>G303*J303</x:f>
        <x:v>13200</x:v>
      </x:c>
      <x:c r="O303" s="2" t="n">
        <x:f>M303-N303-K303</x:f>
        <x:v>775</x:v>
      </x:c>
      <x:c r="P303" s="1" t="str">
        <x:f>TEXT(B303,"yyyy-mm")</x:f>
        <x:v>2025-11</x:v>
      </x:c>
    </x:row>
    <x:row r="304">
      <x:c r="A304" s="1" t="str">
        <x:v>ORD-0300</x:v>
      </x:c>
      <x:c r="B304" s="4" t="d">
        <x:v>2025-03-17T00:00:00.000Z</x:v>
      </x:c>
      <x:c r="C304" s="1" t="str">
        <x:v>C-066</x:v>
      </x:c>
      <x:c r="D304" s="1" t="str">
        <x:v>South</x:v>
      </x:c>
      <x:c r="E304" s="1" t="str">
        <x:v>Home</x:v>
      </x:c>
      <x:c r="F304" s="1" t="str">
        <x:v>Storage box</x:v>
      </x:c>
      <x:c r="G304" s="1" t="n">
        <x:v>1</x:v>
      </x:c>
      <x:c r="H304" s="2" t="n">
        <x:v>800</x:v>
      </x:c>
      <x:c r="I304" s="3" t="n">
        <x:v>0.15</x:v>
      </x:c>
      <x:c r="J304" s="2" t="n">
        <x:v>420</x:v>
      </x:c>
      <x:c r="K304" s="2" t="n">
        <x:v>50</x:v>
      </x:c>
      <x:c r="L304" s="2" t="n">
        <x:f>G304*H304</x:f>
        <x:v>800</x:v>
      </x:c>
      <x:c r="M304" s="2" t="n">
        <x:f>ROUND(L304*(1-I304),2)</x:f>
        <x:v>680</x:v>
      </x:c>
      <x:c r="N304" s="2" t="n">
        <x:f>G304*J304</x:f>
        <x:v>420</x:v>
      </x:c>
      <x:c r="O304" s="2" t="n">
        <x:f>M304-N304-K304</x:f>
        <x:v>210</x:v>
      </x:c>
      <x:c r="P304" s="1" t="str">
        <x:f>TEXT(B304,"yyyy-mm")</x:f>
        <x:v>2025-03</x:v>
      </x:c>
    </x:row>
    <x:row r="305">
      <x:c r="A305" s="1" t="str">
        <x:v>ORD-0301</x:v>
      </x:c>
      <x:c r="B305" s="4" t="d">
        <x:v>2025-12-24T00:00:00.000Z</x:v>
      </x:c>
      <x:c r="C305" s="1" t="str">
        <x:v>C-279</x:v>
      </x:c>
      <x:c r="D305" s="1" t="str">
        <x:v>West</x:v>
      </x:c>
      <x:c r="E305" s="1" t="str">
        <x:v>Home</x:v>
      </x:c>
      <x:c r="F305" s="1" t="str">
        <x:v>Desk lamp</x:v>
      </x:c>
      <x:c r="G305" s="1" t="n">
        <x:v>4</x:v>
      </x:c>
      <x:c r="H305" s="2" t="n">
        <x:v>1100</x:v>
      </x:c>
      <x:c r="I305" s="3" t="n">
        <x:v>0.35</x:v>
      </x:c>
      <x:c r="J305" s="2" t="n">
        <x:v>650</x:v>
      </x:c>
      <x:c r="K305" s="2" t="n">
        <x:v>50</x:v>
      </x:c>
      <x:c r="L305" s="2" t="n">
        <x:f>G305*H305</x:f>
        <x:v>4400</x:v>
      </x:c>
      <x:c r="M305" s="2" t="n">
        <x:f>ROUND(L305*(1-I305),2)</x:f>
        <x:v>2860</x:v>
      </x:c>
      <x:c r="N305" s="2" t="n">
        <x:f>G305*J305</x:f>
        <x:v>2600</x:v>
      </x:c>
      <x:c r="O305" s="2" t="n">
        <x:f>M305-N305-K305</x:f>
        <x:v>210</x:v>
      </x:c>
      <x:c r="P305" s="1" t="str">
        <x:f>TEXT(B305,"yyyy-mm")</x:f>
        <x:v>2025-12</x:v>
      </x:c>
    </x:row>
    <x:row r="306">
      <x:c r="A306" s="1" t="str">
        <x:v>ORD-0302</x:v>
      </x:c>
      <x:c r="B306" s="4" t="d">
        <x:v>2025-04-09T00:00:00.000Z</x:v>
      </x:c>
      <x:c r="C306" s="1" t="str">
        <x:v>C-097</x:v>
      </x:c>
      <x:c r="D306" s="1" t="str">
        <x:v>North</x:v>
      </x:c>
      <x:c r="E306" s="1" t="str">
        <x:v>Fashion</x:v>
      </x:c>
      <x:c r="F306" s="1" t="str">
        <x:v>Backpack</x:v>
      </x:c>
      <x:c r="G306" s="1" t="n">
        <x:v>1</x:v>
      </x:c>
      <x:c r="H306" s="2" t="n">
        <x:v>1300</x:v>
      </x:c>
      <x:c r="I306" s="3" t="n">
        <x:v>0.05</x:v>
      </x:c>
      <x:c r="J306" s="2" t="n">
        <x:v>650</x:v>
      </x:c>
      <x:c r="K306" s="2" t="n">
        <x:v>120</x:v>
      </x:c>
      <x:c r="L306" s="2" t="n">
        <x:f>G306*H306</x:f>
        <x:v>1300</x:v>
      </x:c>
      <x:c r="M306" s="2" t="n">
        <x:f>ROUND(L306*(1-I306),2)</x:f>
        <x:v>1235</x:v>
      </x:c>
      <x:c r="N306" s="2" t="n">
        <x:f>G306*J306</x:f>
        <x:v>650</x:v>
      </x:c>
      <x:c r="O306" s="2" t="n">
        <x:f>M306-N306-K306</x:f>
        <x:v>465</x:v>
      </x:c>
      <x:c r="P306" s="1" t="str">
        <x:f>TEXT(B306,"yyyy-mm")</x:f>
        <x:v>2025-04</x:v>
      </x:c>
    </x:row>
    <x:row r="307">
      <x:c r="A307" s="1" t="str">
        <x:v>ORD-0303</x:v>
      </x:c>
      <x:c r="B307" s="4" t="d">
        <x:v>2025-07-07T00:00:00.000Z</x:v>
      </x:c>
      <x:c r="C307" s="1" t="str">
        <x:v>C-035</x:v>
      </x:c>
      <x:c r="D307" s="1" t="str">
        <x:v>North</x:v>
      </x:c>
      <x:c r="E307" s="1" t="str">
        <x:v>Electronics</x:v>
      </x:c>
      <x:c r="F307" s="1" t="str">
        <x:v>Headphones</x:v>
      </x:c>
      <x:c r="G307" s="1" t="n">
        <x:v>1</x:v>
      </x:c>
      <x:c r="H307" s="2" t="n">
        <x:v>2200</x:v>
      </x:c>
      <x:c r="I307" s="3" t="n">
        <x:v>0.05</x:v>
      </x:c>
      <x:c r="J307" s="2" t="n">
        <x:v>1450</x:v>
      </x:c>
      <x:c r="K307" s="2" t="n">
        <x:v>80</x:v>
      </x:c>
      <x:c r="L307" s="2" t="n">
        <x:f>G307*H307</x:f>
        <x:v>2200</x:v>
      </x:c>
      <x:c r="M307" s="2" t="n">
        <x:f>ROUND(L307*(1-I307),2)</x:f>
        <x:v>2090</x:v>
      </x:c>
      <x:c r="N307" s="2" t="n">
        <x:f>G307*J307</x:f>
        <x:v>1450</x:v>
      </x:c>
      <x:c r="O307" s="2" t="n">
        <x:f>M307-N307-K307</x:f>
        <x:v>560</x:v>
      </x:c>
      <x:c r="P307" s="1" t="str">
        <x:f>TEXT(B307,"yyyy-mm")</x:f>
        <x:v>2025-07</x:v>
      </x:c>
    </x:row>
    <x:row r="308">
      <x:c r="A308" s="1" t="str">
        <x:v>ORD-0304</x:v>
      </x:c>
      <x:c r="B308" s="4" t="d">
        <x:v>2025-09-24T00:00:00.000Z</x:v>
      </x:c>
      <x:c r="C308" s="1" t="str">
        <x:v>C-023</x:v>
      </x:c>
      <x:c r="D308" s="1" t="str">
        <x:v>West</x:v>
      </x:c>
      <x:c r="E308" s="1" t="str">
        <x:v>Electronics</x:v>
      </x:c>
      <x:c r="F308" s="1" t="str">
        <x:v>Headphones</x:v>
      </x:c>
      <x:c r="G308" s="1" t="n">
        <x:v>4</x:v>
      </x:c>
      <x:c r="H308" s="2" t="n">
        <x:v>2200</x:v>
      </x:c>
      <x:c r="I308" s="3" t="n">
        <x:v>0.05</x:v>
      </x:c>
      <x:c r="J308" s="2" t="n">
        <x:v>1450</x:v>
      </x:c>
      <x:c r="K308" s="2" t="n">
        <x:v>50</x:v>
      </x:c>
      <x:c r="L308" s="2" t="n">
        <x:f>G308*H308</x:f>
        <x:v>8800</x:v>
      </x:c>
      <x:c r="M308" s="2" t="n">
        <x:f>ROUND(L308*(1-I308),2)</x:f>
        <x:v>8360</x:v>
      </x:c>
      <x:c r="N308" s="2" t="n">
        <x:f>G308*J308</x:f>
        <x:v>5800</x:v>
      </x:c>
      <x:c r="O308" s="2" t="n">
        <x:f>M308-N308-K308</x:f>
        <x:v>2510</x:v>
      </x:c>
      <x:c r="P308" s="1" t="str">
        <x:f>TEXT(B308,"yyyy-mm")</x:f>
        <x:v>2025-09</x:v>
      </x:c>
    </x:row>
    <x:row r="309">
      <x:c r="A309" s="1" t="str">
        <x:v>ORD-0305</x:v>
      </x:c>
      <x:c r="B309" s="4" t="d">
        <x:v>2025-08-17T00:00:00.000Z</x:v>
      </x:c>
      <x:c r="C309" s="1" t="str">
        <x:v>C-149</x:v>
      </x:c>
      <x:c r="D309" s="1" t="str">
        <x:v>South</x:v>
      </x:c>
      <x:c r="E309" s="1" t="str">
        <x:v>Electronics</x:v>
      </x:c>
      <x:c r="F309" s="1" t="str">
        <x:v>Headphones</x:v>
      </x:c>
      <x:c r="G309" s="1" t="n">
        <x:v>3</x:v>
      </x:c>
      <x:c r="H309" s="2" t="n">
        <x:v>2200</x:v>
      </x:c>
      <x:c r="I309" s="3" t="n">
        <x:v>0.05</x:v>
      </x:c>
      <x:c r="J309" s="2" t="n">
        <x:v>1450</x:v>
      </x:c>
      <x:c r="K309" s="2" t="n">
        <x:v>120</x:v>
      </x:c>
      <x:c r="L309" s="2" t="n">
        <x:f>G309*H309</x:f>
        <x:v>6600</x:v>
      </x:c>
      <x:c r="M309" s="2" t="n">
        <x:f>ROUND(L309*(1-I309),2)</x:f>
        <x:v>6270</x:v>
      </x:c>
      <x:c r="N309" s="2" t="n">
        <x:f>G309*J309</x:f>
        <x:v>4350</x:v>
      </x:c>
      <x:c r="O309" s="2" t="n">
        <x:f>M309-N309-K309</x:f>
        <x:v>1800</x:v>
      </x:c>
      <x:c r="P309" s="1" t="str">
        <x:f>TEXT(B309,"yyyy-mm")</x:f>
        <x:v>2025-08</x:v>
      </x:c>
    </x:row>
    <x:row r="310">
      <x:c r="A310" s="1" t="str">
        <x:v>ORD-0306</x:v>
      </x:c>
      <x:c r="B310" s="4" t="d">
        <x:v>2025-09-10T00:00:00.000Z</x:v>
      </x:c>
      <x:c r="C310" s="1" t="str">
        <x:v>C-074</x:v>
      </x:c>
      <x:c r="D310" s="1" t="str">
        <x:v>South</x:v>
      </x:c>
      <x:c r="E310" s="1" t="str">
        <x:v>Fashion</x:v>
      </x:c>
      <x:c r="F310" s="1" t="str">
        <x:v>Backpack</x:v>
      </x:c>
      <x:c r="G310" s="1" t="n">
        <x:v>4</x:v>
      </x:c>
      <x:c r="H310" s="2" t="n">
        <x:v>1300</x:v>
      </x:c>
      <x:c r="I310" s="3" t="n">
        <x:v>0.05</x:v>
      </x:c>
      <x:c r="J310" s="2" t="n">
        <x:v>650</x:v>
      </x:c>
      <x:c r="K310" s="2" t="n">
        <x:v>80</x:v>
      </x:c>
      <x:c r="L310" s="2" t="n">
        <x:f>G310*H310</x:f>
        <x:v>5200</x:v>
      </x:c>
      <x:c r="M310" s="2" t="n">
        <x:f>ROUND(L310*(1-I310),2)</x:f>
        <x:v>4940</x:v>
      </x:c>
      <x:c r="N310" s="2" t="n">
        <x:f>G310*J310</x:f>
        <x:v>2600</x:v>
      </x:c>
      <x:c r="O310" s="2" t="n">
        <x:f>M310-N310-K310</x:f>
        <x:v>2260</x:v>
      </x:c>
      <x:c r="P310" s="1" t="str">
        <x:f>TEXT(B310,"yyyy-mm")</x:f>
        <x:v>2025-09</x:v>
      </x:c>
    </x:row>
    <x:row r="311">
      <x:c r="A311" s="1" t="str">
        <x:v>ORD-0307</x:v>
      </x:c>
      <x:c r="B311" s="4" t="d">
        <x:v>2025-05-29T00:00:00.000Z</x:v>
      </x:c>
      <x:c r="C311" s="1" t="str">
        <x:v>C-090</x:v>
      </x:c>
      <x:c r="D311" s="1" t="str">
        <x:v>West</x:v>
      </x:c>
      <x:c r="E311" s="1" t="str">
        <x:v>Home</x:v>
      </x:c>
      <x:c r="F311" s="1" t="str">
        <x:v>Storage box</x:v>
      </x:c>
      <x:c r="G311" s="1" t="n">
        <x:v>4</x:v>
      </x:c>
      <x:c r="H311" s="2" t="n">
        <x:v>800</x:v>
      </x:c>
      <x:c r="I311" s="3" t="n">
        <x:v>0.25</x:v>
      </x:c>
      <x:c r="J311" s="2" t="n">
        <x:v>420</x:v>
      </x:c>
      <x:c r="K311" s="2" t="n">
        <x:v>50</x:v>
      </x:c>
      <x:c r="L311" s="2" t="n">
        <x:f>G311*H311</x:f>
        <x:v>3200</x:v>
      </x:c>
      <x:c r="M311" s="2" t="n">
        <x:f>ROUND(L311*(1-I311),2)</x:f>
        <x:v>2400</x:v>
      </x:c>
      <x:c r="N311" s="2" t="n">
        <x:f>G311*J311</x:f>
        <x:v>1680</x:v>
      </x:c>
      <x:c r="O311" s="2" t="n">
        <x:f>M311-N311-K311</x:f>
        <x:v>670</x:v>
      </x:c>
      <x:c r="P311" s="1" t="str">
        <x:f>TEXT(B311,"yyyy-mm")</x:f>
        <x:v>2025-05</x:v>
      </x:c>
    </x:row>
    <x:row r="312">
      <x:c r="A312" s="1" t="str">
        <x:v>ORD-0308</x:v>
      </x:c>
      <x:c r="B312" s="4" t="d">
        <x:v>2025-12-11T00:00:00.000Z</x:v>
      </x:c>
      <x:c r="C312" s="1" t="str">
        <x:v>C-214</x:v>
      </x:c>
      <x:c r="D312" s="1" t="str">
        <x:v>West</x:v>
      </x:c>
      <x:c r="E312" s="1" t="str">
        <x:v>Home</x:v>
      </x:c>
      <x:c r="F312" s="1" t="str">
        <x:v>Office chair</x:v>
      </x:c>
      <x:c r="G312" s="1" t="n">
        <x:v>2</x:v>
      </x:c>
      <x:c r="H312" s="2" t="n">
        <x:v>5500</x:v>
      </x:c>
      <x:c r="I312" s="3" t="n">
        <x:v>0.25</x:v>
      </x:c>
      <x:c r="J312" s="2" t="n">
        <x:v>4400</x:v>
      </x:c>
      <x:c r="K312" s="2" t="n">
        <x:v>80</x:v>
      </x:c>
      <x:c r="L312" s="2" t="n">
        <x:f>G312*H312</x:f>
        <x:v>11000</x:v>
      </x:c>
      <x:c r="M312" s="2" t="n">
        <x:f>ROUND(L312*(1-I312),2)</x:f>
        <x:v>8250</x:v>
      </x:c>
      <x:c r="N312" s="2" t="n">
        <x:f>G312*J312</x:f>
        <x:v>8800</x:v>
      </x:c>
      <x:c r="O312" s="2" t="n">
        <x:f>M312-N312-K312</x:f>
        <x:v>-630</x:v>
      </x:c>
      <x:c r="P312" s="1" t="str">
        <x:f>TEXT(B312,"yyyy-mm")</x:f>
        <x:v>2025-12</x:v>
      </x:c>
    </x:row>
    <x:row r="313">
      <x:c r="A313" s="1" t="str">
        <x:v>ORD-0309</x:v>
      </x:c>
      <x:c r="B313" s="4" t="d">
        <x:v>2025-06-08T00:00:00.000Z</x:v>
      </x:c>
      <x:c r="C313" s="1" t="str">
        <x:v>C-116</x:v>
      </x:c>
      <x:c r="D313" s="1" t="str">
        <x:v>East</x:v>
      </x:c>
      <x:c r="E313" s="1" t="str">
        <x:v>Home</x:v>
      </x:c>
      <x:c r="F313" s="1" t="str">
        <x:v>Storage box</x:v>
      </x:c>
      <x:c r="G313" s="1" t="n">
        <x:v>2</x:v>
      </x:c>
      <x:c r="H313" s="2" t="n">
        <x:v>800</x:v>
      </x:c>
      <x:c r="I313" s="3" t="n">
        <x:v>0.15</x:v>
      </x:c>
      <x:c r="J313" s="2" t="n">
        <x:v>420</x:v>
      </x:c>
      <x:c r="K313" s="2" t="n">
        <x:v>80</x:v>
      </x:c>
      <x:c r="L313" s="2" t="n">
        <x:f>G313*H313</x:f>
        <x:v>1600</x:v>
      </x:c>
      <x:c r="M313" s="2" t="n">
        <x:f>ROUND(L313*(1-I313),2)</x:f>
        <x:v>1360</x:v>
      </x:c>
      <x:c r="N313" s="2" t="n">
        <x:f>G313*J313</x:f>
        <x:v>840</x:v>
      </x:c>
      <x:c r="O313" s="2" t="n">
        <x:f>M313-N313-K313</x:f>
        <x:v>440</x:v>
      </x:c>
      <x:c r="P313" s="1" t="str">
        <x:f>TEXT(B313,"yyyy-mm")</x:f>
        <x:v>2025-06</x:v>
      </x:c>
    </x:row>
    <x:row r="314">
      <x:c r="A314" s="1" t="str">
        <x:v>ORD-0310</x:v>
      </x:c>
      <x:c r="B314" s="4" t="d">
        <x:v>2025-12-31T00:00:00.000Z</x:v>
      </x:c>
      <x:c r="C314" s="1" t="str">
        <x:v>C-214</x:v>
      </x:c>
      <x:c r="D314" s="1" t="str">
        <x:v>South</x:v>
      </x:c>
      <x:c r="E314" s="1" t="str">
        <x:v>Home</x:v>
      </x:c>
      <x:c r="F314" s="1" t="str">
        <x:v>Storage box</x:v>
      </x:c>
      <x:c r="G314" s="1" t="n">
        <x:v>4</x:v>
      </x:c>
      <x:c r="H314" s="2" t="n">
        <x:v>800</x:v>
      </x:c>
      <x:c r="I314" s="3" t="n">
        <x:v>0.15</x:v>
      </x:c>
      <x:c r="J314" s="2" t="n">
        <x:v>420</x:v>
      </x:c>
      <x:c r="K314" s="2" t="n">
        <x:v>50</x:v>
      </x:c>
      <x:c r="L314" s="2" t="n">
        <x:f>G314*H314</x:f>
        <x:v>3200</x:v>
      </x:c>
      <x:c r="M314" s="2" t="n">
        <x:f>ROUND(L314*(1-I314),2)</x:f>
        <x:v>2720</x:v>
      </x:c>
      <x:c r="N314" s="2" t="n">
        <x:f>G314*J314</x:f>
        <x:v>1680</x:v>
      </x:c>
      <x:c r="O314" s="2" t="n">
        <x:f>M314-N314-K314</x:f>
        <x:v>990</x:v>
      </x:c>
      <x:c r="P314" s="1" t="str">
        <x:f>TEXT(B314,"yyyy-mm")</x:f>
        <x:v>2025-12</x:v>
      </x:c>
    </x:row>
    <x:row r="315">
      <x:c r="A315" s="1" t="str">
        <x:v>ORD-0311</x:v>
      </x:c>
      <x:c r="B315" s="4" t="d">
        <x:v>2025-04-03T00:00:00.000Z</x:v>
      </x:c>
      <x:c r="C315" s="1" t="str">
        <x:v>C-231</x:v>
      </x:c>
      <x:c r="D315" s="1" t="str">
        <x:v>East</x:v>
      </x:c>
      <x:c r="E315" s="1" t="str">
        <x:v>Fashion</x:v>
      </x:c>
      <x:c r="F315" s="1" t="str">
        <x:v>Backpack</x:v>
      </x:c>
      <x:c r="G315" s="1" t="n">
        <x:v>1</x:v>
      </x:c>
      <x:c r="H315" s="2" t="n">
        <x:v>1300</x:v>
      </x:c>
      <x:c r="I315" s="3" t="n">
        <x:v>0.35</x:v>
      </x:c>
      <x:c r="J315" s="2" t="n">
        <x:v>650</x:v>
      </x:c>
      <x:c r="K315" s="2" t="n">
        <x:v>120</x:v>
      </x:c>
      <x:c r="L315" s="2" t="n">
        <x:f>G315*H315</x:f>
        <x:v>1300</x:v>
      </x:c>
      <x:c r="M315" s="2" t="n">
        <x:f>ROUND(L315*(1-I315),2)</x:f>
        <x:v>845</x:v>
      </x:c>
      <x:c r="N315" s="2" t="n">
        <x:f>G315*J315</x:f>
        <x:v>650</x:v>
      </x:c>
      <x:c r="O315" s="2" t="n">
        <x:f>M315-N315-K315</x:f>
        <x:v>75</x:v>
      </x:c>
      <x:c r="P315" s="1" t="str">
        <x:f>TEXT(B315,"yyyy-mm")</x:f>
        <x:v>2025-04</x:v>
      </x:c>
    </x:row>
    <x:row r="316">
      <x:c r="A316" s="1" t="str">
        <x:v>ORD-0312</x:v>
      </x:c>
      <x:c r="B316" s="4" t="d">
        <x:v>2025-10-09T00:00:00.000Z</x:v>
      </x:c>
      <x:c r="C316" s="1" t="str">
        <x:v>C-194</x:v>
      </x:c>
      <x:c r="D316" s="1" t="str">
        <x:v>North</x:v>
      </x:c>
      <x:c r="E316" s="1" t="str">
        <x:v>Fashion</x:v>
      </x:c>
      <x:c r="F316" s="1" t="str">
        <x:v>T-shirt</x:v>
      </x:c>
      <x:c r="G316" s="1" t="n">
        <x:v>1</x:v>
      </x:c>
      <x:c r="H316" s="2" t="n">
        <x:v>700</x:v>
      </x:c>
      <x:c r="I316" s="3" t="n">
        <x:v>0</x:v>
      </x:c>
      <x:c r="J316" s="2" t="n">
        <x:v>300</x:v>
      </x:c>
      <x:c r="K316" s="2" t="n">
        <x:v>50</x:v>
      </x:c>
      <x:c r="L316" s="2" t="n">
        <x:f>G316*H316</x:f>
        <x:v>700</x:v>
      </x:c>
      <x:c r="M316" s="2" t="n">
        <x:f>ROUND(L316*(1-I316),2)</x:f>
        <x:v>700</x:v>
      </x:c>
      <x:c r="N316" s="2" t="n">
        <x:f>G316*J316</x:f>
        <x:v>300</x:v>
      </x:c>
      <x:c r="O316" s="2" t="n">
        <x:f>M316-N316-K316</x:f>
        <x:v>350</x:v>
      </x:c>
      <x:c r="P316" s="1" t="str">
        <x:f>TEXT(B316,"yyyy-mm")</x:f>
        <x:v>2025-10</x:v>
      </x:c>
    </x:row>
    <x:row r="317">
      <x:c r="A317" s="1" t="str">
        <x:v>ORD-0313</x:v>
      </x:c>
      <x:c r="B317" s="4" t="d">
        <x:v>2025-11-16T00:00:00.000Z</x:v>
      </x:c>
      <x:c r="C317" s="1" t="str">
        <x:v>C-107</x:v>
      </x:c>
      <x:c r="D317" s="1" t="str">
        <x:v>East</x:v>
      </x:c>
      <x:c r="E317" s="1" t="str">
        <x:v>Home</x:v>
      </x:c>
      <x:c r="F317" s="1" t="str">
        <x:v>Storage box</x:v>
      </x:c>
      <x:c r="G317" s="1" t="n">
        <x:v>3</x:v>
      </x:c>
      <x:c r="H317" s="2" t="n">
        <x:v>800</x:v>
      </x:c>
      <x:c r="I317" s="3" t="n">
        <x:v>0.05</x:v>
      </x:c>
      <x:c r="J317" s="2" t="n">
        <x:v>420</x:v>
      </x:c>
      <x:c r="K317" s="2" t="n">
        <x:v>50</x:v>
      </x:c>
      <x:c r="L317" s="2" t="n">
        <x:f>G317*H317</x:f>
        <x:v>2400</x:v>
      </x:c>
      <x:c r="M317" s="2" t="n">
        <x:f>ROUND(L317*(1-I317),2)</x:f>
        <x:v>2280</x:v>
      </x:c>
      <x:c r="N317" s="2" t="n">
        <x:f>G317*J317</x:f>
        <x:v>1260</x:v>
      </x:c>
      <x:c r="O317" s="2" t="n">
        <x:f>M317-N317-K317</x:f>
        <x:v>970</x:v>
      </x:c>
      <x:c r="P317" s="1" t="str">
        <x:f>TEXT(B317,"yyyy-mm")</x:f>
        <x:v>2025-11</x:v>
      </x:c>
    </x:row>
    <x:row r="318">
      <x:c r="A318" s="1" t="str">
        <x:v>ORD-0314</x:v>
      </x:c>
      <x:c r="B318" s="4" t="d">
        <x:v>2025-04-04T00:00:00.000Z</x:v>
      </x:c>
      <x:c r="C318" s="1" t="str">
        <x:v>C-246</x:v>
      </x:c>
      <x:c r="D318" s="1" t="str">
        <x:v>South</x:v>
      </x:c>
      <x:c r="E318" s="1" t="str">
        <x:v>Fashion</x:v>
      </x:c>
      <x:c r="F318" s="1" t="str">
        <x:v>T-shirt</x:v>
      </x:c>
      <x:c r="G318" s="1" t="n">
        <x:v>2</x:v>
      </x:c>
      <x:c r="H318" s="2" t="n">
        <x:v>700</x:v>
      </x:c>
      <x:c r="I318" s="3" t="n">
        <x:v>0.35</x:v>
      </x:c>
      <x:c r="J318" s="2" t="n">
        <x:v>300</x:v>
      </x:c>
      <x:c r="K318" s="2" t="n">
        <x:v>80</x:v>
      </x:c>
      <x:c r="L318" s="2" t="n">
        <x:f>G318*H318</x:f>
        <x:v>1400</x:v>
      </x:c>
      <x:c r="M318" s="2" t="n">
        <x:f>ROUND(L318*(1-I318),2)</x:f>
        <x:v>910</x:v>
      </x:c>
      <x:c r="N318" s="2" t="n">
        <x:f>G318*J318</x:f>
        <x:v>600</x:v>
      </x:c>
      <x:c r="O318" s="2" t="n">
        <x:f>M318-N318-K318</x:f>
        <x:v>230</x:v>
      </x:c>
      <x:c r="P318" s="1" t="str">
        <x:f>TEXT(B318,"yyyy-mm")</x:f>
        <x:v>2025-04</x:v>
      </x:c>
    </x:row>
    <x:row r="319">
      <x:c r="A319" s="1" t="str">
        <x:v>ORD-0315</x:v>
      </x:c>
      <x:c r="B319" s="4" t="d">
        <x:v>2025-12-25T00:00:00.000Z</x:v>
      </x:c>
      <x:c r="C319" s="1" t="str">
        <x:v>C-145</x:v>
      </x:c>
      <x:c r="D319" s="1" t="str">
        <x:v>West</x:v>
      </x:c>
      <x:c r="E319" s="1" t="str">
        <x:v>Home</x:v>
      </x:c>
      <x:c r="F319" s="1" t="str">
        <x:v>Storage box</x:v>
      </x:c>
      <x:c r="G319" s="1" t="n">
        <x:v>4</x:v>
      </x:c>
      <x:c r="H319" s="2" t="n">
        <x:v>800</x:v>
      </x:c>
      <x:c r="I319" s="3" t="n">
        <x:v>0.1</x:v>
      </x:c>
      <x:c r="J319" s="2" t="n">
        <x:v>420</x:v>
      </x:c>
      <x:c r="K319" s="2" t="n">
        <x:v>120</x:v>
      </x:c>
      <x:c r="L319" s="2" t="n">
        <x:f>G319*H319</x:f>
        <x:v>3200</x:v>
      </x:c>
      <x:c r="M319" s="2" t="n">
        <x:f>ROUND(L319*(1-I319),2)</x:f>
        <x:v>2880</x:v>
      </x:c>
      <x:c r="N319" s="2" t="n">
        <x:f>G319*J319</x:f>
        <x:v>1680</x:v>
      </x:c>
      <x:c r="O319" s="2" t="n">
        <x:f>M319-N319-K319</x:f>
        <x:v>1080</x:v>
      </x:c>
      <x:c r="P319" s="1" t="str">
        <x:f>TEXT(B319,"yyyy-mm")</x:f>
        <x:v>2025-12</x:v>
      </x:c>
    </x:row>
    <x:row r="320">
      <x:c r="A320" s="1" t="str">
        <x:v>ORD-0316</x:v>
      </x:c>
      <x:c r="B320" s="4" t="d">
        <x:v>2025-09-12T00:00:00.000Z</x:v>
      </x:c>
      <x:c r="C320" s="1" t="str">
        <x:v>C-263</x:v>
      </x:c>
      <x:c r="D320" s="1" t="str">
        <x:v>West</x:v>
      </x:c>
      <x:c r="E320" s="1" t="str">
        <x:v>Fashion</x:v>
      </x:c>
      <x:c r="F320" s="1" t="str">
        <x:v>Sneakers</x:v>
      </x:c>
      <x:c r="G320" s="1" t="n">
        <x:v>4</x:v>
      </x:c>
      <x:c r="H320" s="2" t="n">
        <x:v>2400</x:v>
      </x:c>
      <x:c r="I320" s="3" t="n">
        <x:v>0.1</x:v>
      </x:c>
      <x:c r="J320" s="2" t="n">
        <x:v>1200</x:v>
      </x:c>
      <x:c r="K320" s="2" t="n">
        <x:v>50</x:v>
      </x:c>
      <x:c r="L320" s="2" t="n">
        <x:f>G320*H320</x:f>
        <x:v>9600</x:v>
      </x:c>
      <x:c r="M320" s="2" t="n">
        <x:f>ROUND(L320*(1-I320),2)</x:f>
        <x:v>8640</x:v>
      </x:c>
      <x:c r="N320" s="2" t="n">
        <x:f>G320*J320</x:f>
        <x:v>4800</x:v>
      </x:c>
      <x:c r="O320" s="2" t="n">
        <x:f>M320-N320-K320</x:f>
        <x:v>3790</x:v>
      </x:c>
      <x:c r="P320" s="1" t="str">
        <x:f>TEXT(B320,"yyyy-mm")</x:f>
        <x:v>2025-09</x:v>
      </x:c>
    </x:row>
    <x:row r="321">
      <x:c r="A321" s="1" t="str">
        <x:v>ORD-0317</x:v>
      </x:c>
      <x:c r="B321" s="4" t="d">
        <x:v>2025-11-30T00:00:00.000Z</x:v>
      </x:c>
      <x:c r="C321" s="1" t="str">
        <x:v>C-105</x:v>
      </x:c>
      <x:c r="D321" s="1" t="str">
        <x:v>East</x:v>
      </x:c>
      <x:c r="E321" s="1" t="str">
        <x:v>Home</x:v>
      </x:c>
      <x:c r="F321" s="1" t="str">
        <x:v>Desk lamp</x:v>
      </x:c>
      <x:c r="G321" s="1" t="n">
        <x:v>3</x:v>
      </x:c>
      <x:c r="H321" s="2" t="n">
        <x:v>1100</x:v>
      </x:c>
      <x:c r="I321" s="3" t="n">
        <x:v>0.1</x:v>
      </x:c>
      <x:c r="J321" s="2" t="n">
        <x:v>650</x:v>
      </x:c>
      <x:c r="K321" s="2" t="n">
        <x:v>80</x:v>
      </x:c>
      <x:c r="L321" s="2" t="n">
        <x:f>G321*H321</x:f>
        <x:v>3300</x:v>
      </x:c>
      <x:c r="M321" s="2" t="n">
        <x:f>ROUND(L321*(1-I321),2)</x:f>
        <x:v>2970</x:v>
      </x:c>
      <x:c r="N321" s="2" t="n">
        <x:f>G321*J321</x:f>
        <x:v>1950</x:v>
      </x:c>
      <x:c r="O321" s="2" t="n">
        <x:f>M321-N321-K321</x:f>
        <x:v>940</x:v>
      </x:c>
      <x:c r="P321" s="1" t="str">
        <x:f>TEXT(B321,"yyyy-mm")</x:f>
        <x:v>2025-11</x:v>
      </x:c>
    </x:row>
    <x:row r="322">
      <x:c r="A322" s="1" t="str">
        <x:v>ORD-0318</x:v>
      </x:c>
      <x:c r="B322" s="4" t="d">
        <x:v>2025-01-05T00:00:00.000Z</x:v>
      </x:c>
      <x:c r="C322" s="1" t="str">
        <x:v>C-009</x:v>
      </x:c>
      <x:c r="D322" s="1" t="str">
        <x:v>East</x:v>
      </x:c>
      <x:c r="E322" s="1" t="str">
        <x:v>Fashion</x:v>
      </x:c>
      <x:c r="F322" s="1" t="str">
        <x:v>T-shirt</x:v>
      </x:c>
      <x:c r="G322" s="1" t="n">
        <x:v>4</x:v>
      </x:c>
      <x:c r="H322" s="2" t="n">
        <x:v>700</x:v>
      </x:c>
      <x:c r="I322" s="3" t="n">
        <x:v>0.35</x:v>
      </x:c>
      <x:c r="J322" s="2" t="n">
        <x:v>300</x:v>
      </x:c>
      <x:c r="K322" s="2" t="n">
        <x:v>80</x:v>
      </x:c>
      <x:c r="L322" s="2" t="n">
        <x:f>G322*H322</x:f>
        <x:v>2800</x:v>
      </x:c>
      <x:c r="M322" s="2" t="n">
        <x:f>ROUND(L322*(1-I322),2)</x:f>
        <x:v>1820</x:v>
      </x:c>
      <x:c r="N322" s="2" t="n">
        <x:f>G322*J322</x:f>
        <x:v>1200</x:v>
      </x:c>
      <x:c r="O322" s="2" t="n">
        <x:f>M322-N322-K322</x:f>
        <x:v>540</x:v>
      </x:c>
      <x:c r="P322" s="1" t="str">
        <x:f>TEXT(B322,"yyyy-mm")</x:f>
        <x:v>2025-01</x:v>
      </x:c>
    </x:row>
    <x:row r="323">
      <x:c r="A323" s="1" t="str">
        <x:v>ORD-0319</x:v>
      </x:c>
      <x:c r="B323" s="4" t="d">
        <x:v>2025-03-13T00:00:00.000Z</x:v>
      </x:c>
      <x:c r="C323" s="1" t="str">
        <x:v>C-292</x:v>
      </x:c>
      <x:c r="D323" s="1" t="str">
        <x:v>South</x:v>
      </x:c>
      <x:c r="E323" s="1" t="str">
        <x:v>Fashion</x:v>
      </x:c>
      <x:c r="F323" s="1" t="str">
        <x:v>Backpack</x:v>
      </x:c>
      <x:c r="G323" s="1" t="n">
        <x:v>4</x:v>
      </x:c>
      <x:c r="H323" s="2" t="n">
        <x:v>1300</x:v>
      </x:c>
      <x:c r="I323" s="3" t="n">
        <x:v>0.05</x:v>
      </x:c>
      <x:c r="J323" s="2" t="n">
        <x:v>650</x:v>
      </x:c>
      <x:c r="K323" s="2" t="n">
        <x:v>120</x:v>
      </x:c>
      <x:c r="L323" s="2" t="n">
        <x:f>G323*H323</x:f>
        <x:v>5200</x:v>
      </x:c>
      <x:c r="M323" s="2" t="n">
        <x:f>ROUND(L323*(1-I323),2)</x:f>
        <x:v>4940</x:v>
      </x:c>
      <x:c r="N323" s="2" t="n">
        <x:f>G323*J323</x:f>
        <x:v>2600</x:v>
      </x:c>
      <x:c r="O323" s="2" t="n">
        <x:f>M323-N323-K323</x:f>
        <x:v>2220</x:v>
      </x:c>
      <x:c r="P323" s="1" t="str">
        <x:f>TEXT(B323,"yyyy-mm")</x:f>
        <x:v>2025-03</x:v>
      </x:c>
    </x:row>
    <x:row r="324">
      <x:c r="A324" s="1" t="str">
        <x:v>ORD-0320</x:v>
      </x:c>
      <x:c r="B324" s="4" t="d">
        <x:v>2025-10-25T00:00:00.000Z</x:v>
      </x:c>
      <x:c r="C324" s="1" t="str">
        <x:v>C-251</x:v>
      </x:c>
      <x:c r="D324" s="1" t="str">
        <x:v>West</x:v>
      </x:c>
      <x:c r="E324" s="1" t="str">
        <x:v>Fashion</x:v>
      </x:c>
      <x:c r="F324" s="1" t="str">
        <x:v>Backpack</x:v>
      </x:c>
      <x:c r="G324" s="1" t="n">
        <x:v>4</x:v>
      </x:c>
      <x:c r="H324" s="2" t="n">
        <x:v>1300</x:v>
      </x:c>
      <x:c r="I324" s="3" t="n">
        <x:v>0.1</x:v>
      </x:c>
      <x:c r="J324" s="2" t="n">
        <x:v>650</x:v>
      </x:c>
      <x:c r="K324" s="2" t="n">
        <x:v>50</x:v>
      </x:c>
      <x:c r="L324" s="2" t="n">
        <x:f>G324*H324</x:f>
        <x:v>5200</x:v>
      </x:c>
      <x:c r="M324" s="2" t="n">
        <x:f>ROUND(L324*(1-I324),2)</x:f>
        <x:v>4680</x:v>
      </x:c>
      <x:c r="N324" s="2" t="n">
        <x:f>G324*J324</x:f>
        <x:v>2600</x:v>
      </x:c>
      <x:c r="O324" s="2" t="n">
        <x:f>M324-N324-K324</x:f>
        <x:v>2030</x:v>
      </x:c>
      <x:c r="P324" s="1" t="str">
        <x:f>TEXT(B324,"yyyy-mm")</x:f>
        <x:v>2025-10</x:v>
      </x:c>
    </x:row>
    <x:row r="325">
      <x:c r="A325" s="1" t="str">
        <x:v>ORD-0321</x:v>
      </x:c>
      <x:c r="B325" s="4" t="d">
        <x:v>2025-10-05T00:00:00.000Z</x:v>
      </x:c>
      <x:c r="C325" s="1" t="str">
        <x:v>C-280</x:v>
      </x:c>
      <x:c r="D325" s="1" t="str">
        <x:v>West</x:v>
      </x:c>
      <x:c r="E325" s="1" t="str">
        <x:v>Fashion</x:v>
      </x:c>
      <x:c r="F325" s="1" t="str">
        <x:v>Backpack</x:v>
      </x:c>
      <x:c r="G325" s="1" t="n">
        <x:v>2</x:v>
      </x:c>
      <x:c r="H325" s="2" t="n">
        <x:v>1300</x:v>
      </x:c>
      <x:c r="I325" s="3" t="n">
        <x:v>0.05</x:v>
      </x:c>
      <x:c r="J325" s="2" t="n">
        <x:v>650</x:v>
      </x:c>
      <x:c r="K325" s="2" t="n">
        <x:v>120</x:v>
      </x:c>
      <x:c r="L325" s="2" t="n">
        <x:f>G325*H325</x:f>
        <x:v>2600</x:v>
      </x:c>
      <x:c r="M325" s="2" t="n">
        <x:f>ROUND(L325*(1-I325),2)</x:f>
        <x:v>2470</x:v>
      </x:c>
      <x:c r="N325" s="2" t="n">
        <x:f>G325*J325</x:f>
        <x:v>1300</x:v>
      </x:c>
      <x:c r="O325" s="2" t="n">
        <x:f>M325-N325-K325</x:f>
        <x:v>1050</x:v>
      </x:c>
      <x:c r="P325" s="1" t="str">
        <x:f>TEXT(B325,"yyyy-mm")</x:f>
        <x:v>2025-10</x:v>
      </x:c>
    </x:row>
    <x:row r="326">
      <x:c r="A326" s="1" t="str">
        <x:v>ORD-0322</x:v>
      </x:c>
      <x:c r="B326" s="4" t="d">
        <x:v>2025-12-02T00:00:00.000Z</x:v>
      </x:c>
      <x:c r="C326" s="1" t="str">
        <x:v>C-039</x:v>
      </x:c>
      <x:c r="D326" s="1" t="str">
        <x:v>North</x:v>
      </x:c>
      <x:c r="E326" s="1" t="str">
        <x:v>Electronics</x:v>
      </x:c>
      <x:c r="F326" s="1" t="str">
        <x:v>Headphones</x:v>
      </x:c>
      <x:c r="G326" s="1" t="n">
        <x:v>1</x:v>
      </x:c>
      <x:c r="H326" s="2" t="n">
        <x:v>2200</x:v>
      </x:c>
      <x:c r="I326" s="3" t="n">
        <x:v>0.25</x:v>
      </x:c>
      <x:c r="J326" s="2" t="n">
        <x:v>1450</x:v>
      </x:c>
      <x:c r="K326" s="2" t="n">
        <x:v>80</x:v>
      </x:c>
      <x:c r="L326" s="2" t="n">
        <x:f>G326*H326</x:f>
        <x:v>2200</x:v>
      </x:c>
      <x:c r="M326" s="2" t="n">
        <x:f>ROUND(L326*(1-I326),2)</x:f>
        <x:v>1650</x:v>
      </x:c>
      <x:c r="N326" s="2" t="n">
        <x:f>G326*J326</x:f>
        <x:v>1450</x:v>
      </x:c>
      <x:c r="O326" s="2" t="n">
        <x:f>M326-N326-K326</x:f>
        <x:v>120</x:v>
      </x:c>
      <x:c r="P326" s="1" t="str">
        <x:f>TEXT(B326,"yyyy-mm")</x:f>
        <x:v>2025-12</x:v>
      </x:c>
    </x:row>
    <x:row r="327">
      <x:c r="A327" s="1" t="str">
        <x:v>ORD-0323</x:v>
      </x:c>
      <x:c r="B327" s="4" t="d">
        <x:v>2025-03-23T00:00:00.000Z</x:v>
      </x:c>
      <x:c r="C327" s="1" t="str">
        <x:v>C-078</x:v>
      </x:c>
      <x:c r="D327" s="1" t="str">
        <x:v>North</x:v>
      </x:c>
      <x:c r="E327" s="1" t="str">
        <x:v>Fashion</x:v>
      </x:c>
      <x:c r="F327" s="1" t="str">
        <x:v>T-shirt</x:v>
      </x:c>
      <x:c r="G327" s="1" t="n">
        <x:v>2</x:v>
      </x:c>
      <x:c r="H327" s="2" t="n">
        <x:v>700</x:v>
      </x:c>
      <x:c r="I327" s="3" t="n">
        <x:v>0</x:v>
      </x:c>
      <x:c r="J327" s="2" t="n">
        <x:v>300</x:v>
      </x:c>
      <x:c r="K327" s="2" t="n">
        <x:v>120</x:v>
      </x:c>
      <x:c r="L327" s="2" t="n">
        <x:f>G327*H327</x:f>
        <x:v>1400</x:v>
      </x:c>
      <x:c r="M327" s="2" t="n">
        <x:f>ROUND(L327*(1-I327),2)</x:f>
        <x:v>1400</x:v>
      </x:c>
      <x:c r="N327" s="2" t="n">
        <x:f>G327*J327</x:f>
        <x:v>600</x:v>
      </x:c>
      <x:c r="O327" s="2" t="n">
        <x:f>M327-N327-K327</x:f>
        <x:v>680</x:v>
      </x:c>
      <x:c r="P327" s="1" t="str">
        <x:f>TEXT(B327,"yyyy-mm")</x:f>
        <x:v>2025-03</x:v>
      </x:c>
    </x:row>
    <x:row r="328">
      <x:c r="A328" s="1" t="str">
        <x:v>ORD-0324</x:v>
      </x:c>
      <x:c r="B328" s="4" t="d">
        <x:v>2025-07-21T00:00:00.000Z</x:v>
      </x:c>
      <x:c r="C328" s="1" t="str">
        <x:v>C-248</x:v>
      </x:c>
      <x:c r="D328" s="1" t="str">
        <x:v>West</x:v>
      </x:c>
      <x:c r="E328" s="1" t="str">
        <x:v>Electronics</x:v>
      </x:c>
      <x:c r="F328" s="1" t="str">
        <x:v>Headphones</x:v>
      </x:c>
      <x:c r="G328" s="1" t="n">
        <x:v>1</x:v>
      </x:c>
      <x:c r="H328" s="2" t="n">
        <x:v>2200</x:v>
      </x:c>
      <x:c r="I328" s="3" t="n">
        <x:v>0.25</x:v>
      </x:c>
      <x:c r="J328" s="2" t="n">
        <x:v>1450</x:v>
      </x:c>
      <x:c r="K328" s="2" t="n">
        <x:v>50</x:v>
      </x:c>
      <x:c r="L328" s="2" t="n">
        <x:f>G328*H328</x:f>
        <x:v>2200</x:v>
      </x:c>
      <x:c r="M328" s="2" t="n">
        <x:f>ROUND(L328*(1-I328),2)</x:f>
        <x:v>1650</x:v>
      </x:c>
      <x:c r="N328" s="2" t="n">
        <x:f>G328*J328</x:f>
        <x:v>1450</x:v>
      </x:c>
      <x:c r="O328" s="2" t="n">
        <x:f>M328-N328-K328</x:f>
        <x:v>150</x:v>
      </x:c>
      <x:c r="P328" s="1" t="str">
        <x:f>TEXT(B328,"yyyy-mm")</x:f>
        <x:v>2025-07</x:v>
      </x:c>
    </x:row>
    <x:row r="329">
      <x:c r="A329" s="1" t="str">
        <x:v>ORD-0325</x:v>
      </x:c>
      <x:c r="B329" s="4" t="d">
        <x:v>2025-08-01T00:00:00.000Z</x:v>
      </x:c>
      <x:c r="C329" s="1" t="str">
        <x:v>C-272</x:v>
      </x:c>
      <x:c r="D329" s="1" t="str">
        <x:v>East</x:v>
      </x:c>
      <x:c r="E329" s="1" t="str">
        <x:v>Home</x:v>
      </x:c>
      <x:c r="F329" s="1" t="str">
        <x:v>Office chair</x:v>
      </x:c>
      <x:c r="G329" s="1" t="n">
        <x:v>3</x:v>
      </x:c>
      <x:c r="H329" s="2" t="n">
        <x:v>5500</x:v>
      </x:c>
      <x:c r="I329" s="3" t="n">
        <x:v>0</x:v>
      </x:c>
      <x:c r="J329" s="2" t="n">
        <x:v>4400</x:v>
      </x:c>
      <x:c r="K329" s="2" t="n">
        <x:v>50</x:v>
      </x:c>
      <x:c r="L329" s="2" t="n">
        <x:f>G329*H329</x:f>
        <x:v>16500</x:v>
      </x:c>
      <x:c r="M329" s="2" t="n">
        <x:f>ROUND(L329*(1-I329),2)</x:f>
        <x:v>16500</x:v>
      </x:c>
      <x:c r="N329" s="2" t="n">
        <x:f>G329*J329</x:f>
        <x:v>13200</x:v>
      </x:c>
      <x:c r="O329" s="2" t="n">
        <x:f>M329-N329-K329</x:f>
        <x:v>3250</x:v>
      </x:c>
      <x:c r="P329" s="1" t="str">
        <x:f>TEXT(B329,"yyyy-mm")</x:f>
        <x:v>2025-08</x:v>
      </x:c>
    </x:row>
    <x:row r="330">
      <x:c r="A330" s="1" t="str">
        <x:v>ORD-0326</x:v>
      </x:c>
      <x:c r="B330" s="4" t="d">
        <x:v>2025-08-04T00:00:00.000Z</x:v>
      </x:c>
      <x:c r="C330" s="1" t="str">
        <x:v>C-050</x:v>
      </x:c>
      <x:c r="D330" s="1" t="str">
        <x:v>South</x:v>
      </x:c>
      <x:c r="E330" s="1" t="str">
        <x:v>Home</x:v>
      </x:c>
      <x:c r="F330" s="1" t="str">
        <x:v>Office chair</x:v>
      </x:c>
      <x:c r="G330" s="1" t="n">
        <x:v>2</x:v>
      </x:c>
      <x:c r="H330" s="2" t="n">
        <x:v>5500</x:v>
      </x:c>
      <x:c r="I330" s="3" t="n">
        <x:v>0.05</x:v>
      </x:c>
      <x:c r="J330" s="2" t="n">
        <x:v>4400</x:v>
      </x:c>
      <x:c r="K330" s="2" t="n">
        <x:v>50</x:v>
      </x:c>
      <x:c r="L330" s="2" t="n">
        <x:f>G330*H330</x:f>
        <x:v>11000</x:v>
      </x:c>
      <x:c r="M330" s="2" t="n">
        <x:f>ROUND(L330*(1-I330),2)</x:f>
        <x:v>10450</x:v>
      </x:c>
      <x:c r="N330" s="2" t="n">
        <x:f>G330*J330</x:f>
        <x:v>8800</x:v>
      </x:c>
      <x:c r="O330" s="2" t="n">
        <x:f>M330-N330-K330</x:f>
        <x:v>1600</x:v>
      </x:c>
      <x:c r="P330" s="1" t="str">
        <x:f>TEXT(B330,"yyyy-mm")</x:f>
        <x:v>2025-08</x:v>
      </x:c>
    </x:row>
    <x:row r="331">
      <x:c r="A331" s="1" t="str">
        <x:v>ORD-0327</x:v>
      </x:c>
      <x:c r="B331" s="4" t="d">
        <x:v>2025-09-09T00:00:00.000Z</x:v>
      </x:c>
      <x:c r="C331" s="1" t="str">
        <x:v>C-204</x:v>
      </x:c>
      <x:c r="D331" s="1" t="str">
        <x:v>North</x:v>
      </x:c>
      <x:c r="E331" s="1" t="str">
        <x:v>Fashion</x:v>
      </x:c>
      <x:c r="F331" s="1" t="str">
        <x:v>Sneakers</x:v>
      </x:c>
      <x:c r="G331" s="1" t="n">
        <x:v>3</x:v>
      </x:c>
      <x:c r="H331" s="2" t="n">
        <x:v>2400</x:v>
      </x:c>
      <x:c r="I331" s="3" t="n">
        <x:v>0.1</x:v>
      </x:c>
      <x:c r="J331" s="2" t="n">
        <x:v>1200</x:v>
      </x:c>
      <x:c r="K331" s="2" t="n">
        <x:v>80</x:v>
      </x:c>
      <x:c r="L331" s="2" t="n">
        <x:f>G331*H331</x:f>
        <x:v>7200</x:v>
      </x:c>
      <x:c r="M331" s="2" t="n">
        <x:f>ROUND(L331*(1-I331),2)</x:f>
        <x:v>6480</x:v>
      </x:c>
      <x:c r="N331" s="2" t="n">
        <x:f>G331*J331</x:f>
        <x:v>3600</x:v>
      </x:c>
      <x:c r="O331" s="2" t="n">
        <x:f>M331-N331-K331</x:f>
        <x:v>2800</x:v>
      </x:c>
      <x:c r="P331" s="1" t="str">
        <x:f>TEXT(B331,"yyyy-mm")</x:f>
        <x:v>2025-09</x:v>
      </x:c>
    </x:row>
    <x:row r="332">
      <x:c r="A332" s="1" t="str">
        <x:v>ORD-0328</x:v>
      </x:c>
      <x:c r="B332" s="4" t="d">
        <x:v>2025-07-08T00:00:00.000Z</x:v>
      </x:c>
      <x:c r="C332" s="1" t="str">
        <x:v>C-154</x:v>
      </x:c>
      <x:c r="D332" s="1" t="str">
        <x:v>North</x:v>
      </x:c>
      <x:c r="E332" s="1" t="str">
        <x:v>Fashion</x:v>
      </x:c>
      <x:c r="F332" s="1" t="str">
        <x:v>T-shirt</x:v>
      </x:c>
      <x:c r="G332" s="1" t="n">
        <x:v>1</x:v>
      </x:c>
      <x:c r="H332" s="2" t="n">
        <x:v>700</x:v>
      </x:c>
      <x:c r="I332" s="3" t="n">
        <x:v>0.35</x:v>
      </x:c>
      <x:c r="J332" s="2" t="n">
        <x:v>300</x:v>
      </x:c>
      <x:c r="K332" s="2" t="n">
        <x:v>50</x:v>
      </x:c>
      <x:c r="L332" s="2" t="n">
        <x:f>G332*H332</x:f>
        <x:v>700</x:v>
      </x:c>
      <x:c r="M332" s="2" t="n">
        <x:f>ROUND(L332*(1-I332),2)</x:f>
        <x:v>455</x:v>
      </x:c>
      <x:c r="N332" s="2" t="n">
        <x:f>G332*J332</x:f>
        <x:v>300</x:v>
      </x:c>
      <x:c r="O332" s="2" t="n">
        <x:f>M332-N332-K332</x:f>
        <x:v>105</x:v>
      </x:c>
      <x:c r="P332" s="1" t="str">
        <x:f>TEXT(B332,"yyyy-mm")</x:f>
        <x:v>2025-07</x:v>
      </x:c>
    </x:row>
    <x:row r="333">
      <x:c r="A333" s="1" t="str">
        <x:v>ORD-0329</x:v>
      </x:c>
      <x:c r="B333" s="4" t="d">
        <x:v>2025-06-16T00:00:00.000Z</x:v>
      </x:c>
      <x:c r="C333" s="1" t="str">
        <x:v>C-029</x:v>
      </x:c>
      <x:c r="D333" s="1" t="str">
        <x:v>North</x:v>
      </x:c>
      <x:c r="E333" s="1" t="str">
        <x:v>Home</x:v>
      </x:c>
      <x:c r="F333" s="1" t="str">
        <x:v>Office chair</x:v>
      </x:c>
      <x:c r="G333" s="1" t="n">
        <x:v>2</x:v>
      </x:c>
      <x:c r="H333" s="2" t="n">
        <x:v>5500</x:v>
      </x:c>
      <x:c r="I333" s="3" t="n">
        <x:v>0.25</x:v>
      </x:c>
      <x:c r="J333" s="2" t="n">
        <x:v>4400</x:v>
      </x:c>
      <x:c r="K333" s="2" t="n">
        <x:v>50</x:v>
      </x:c>
      <x:c r="L333" s="2" t="n">
        <x:f>G333*H333</x:f>
        <x:v>11000</x:v>
      </x:c>
      <x:c r="M333" s="2" t="n">
        <x:f>ROUND(L333*(1-I333),2)</x:f>
        <x:v>8250</x:v>
      </x:c>
      <x:c r="N333" s="2" t="n">
        <x:f>G333*J333</x:f>
        <x:v>8800</x:v>
      </x:c>
      <x:c r="O333" s="2" t="n">
        <x:f>M333-N333-K333</x:f>
        <x:v>-600</x:v>
      </x:c>
      <x:c r="P333" s="1" t="str">
        <x:f>TEXT(B333,"yyyy-mm")</x:f>
        <x:v>2025-06</x:v>
      </x:c>
    </x:row>
    <x:row r="334">
      <x:c r="A334" s="1" t="str">
        <x:v>ORD-0330</x:v>
      </x:c>
      <x:c r="B334" s="4" t="d">
        <x:v>2025-08-26T00:00:00.000Z</x:v>
      </x:c>
      <x:c r="C334" s="1" t="str">
        <x:v>C-170</x:v>
      </x:c>
      <x:c r="D334" s="1" t="str">
        <x:v>North</x:v>
      </x:c>
      <x:c r="E334" s="1" t="str">
        <x:v>Home</x:v>
      </x:c>
      <x:c r="F334" s="1" t="str">
        <x:v>Office chair</x:v>
      </x:c>
      <x:c r="G334" s="1" t="n">
        <x:v>1</x:v>
      </x:c>
      <x:c r="H334" s="2" t="n">
        <x:v>5500</x:v>
      </x:c>
      <x:c r="I334" s="3" t="n">
        <x:v>0.35</x:v>
      </x:c>
      <x:c r="J334" s="2" t="n">
        <x:v>4400</x:v>
      </x:c>
      <x:c r="K334" s="2" t="n">
        <x:v>50</x:v>
      </x:c>
      <x:c r="L334" s="2" t="n">
        <x:f>G334*H334</x:f>
        <x:v>5500</x:v>
      </x:c>
      <x:c r="M334" s="2" t="n">
        <x:f>ROUND(L334*(1-I334),2)</x:f>
        <x:v>3575</x:v>
      </x:c>
      <x:c r="N334" s="2" t="n">
        <x:f>G334*J334</x:f>
        <x:v>4400</x:v>
      </x:c>
      <x:c r="O334" s="2" t="n">
        <x:f>M334-N334-K334</x:f>
        <x:v>-875</x:v>
      </x:c>
      <x:c r="P334" s="1" t="str">
        <x:f>TEXT(B334,"yyyy-mm")</x:f>
        <x:v>2025-08</x:v>
      </x:c>
    </x:row>
    <x:row r="335">
      <x:c r="A335" s="1" t="str">
        <x:v>ORD-0331</x:v>
      </x:c>
      <x:c r="B335" s="4" t="d">
        <x:v>2025-04-02T00:00:00.000Z</x:v>
      </x:c>
      <x:c r="C335" s="1" t="str">
        <x:v>C-039</x:v>
      </x:c>
      <x:c r="D335" s="1" t="str">
        <x:v>East</x:v>
      </x:c>
      <x:c r="E335" s="1" t="str">
        <x:v>Home</x:v>
      </x:c>
      <x:c r="F335" s="1" t="str">
        <x:v>Desk lamp</x:v>
      </x:c>
      <x:c r="G335" s="1" t="n">
        <x:v>1</x:v>
      </x:c>
      <x:c r="H335" s="2" t="n">
        <x:v>1100</x:v>
      </x:c>
      <x:c r="I335" s="3" t="n">
        <x:v>0.1</x:v>
      </x:c>
      <x:c r="J335" s="2" t="n">
        <x:v>650</x:v>
      </x:c>
      <x:c r="K335" s="2" t="n">
        <x:v>50</x:v>
      </x:c>
      <x:c r="L335" s="2" t="n">
        <x:f>G335*H335</x:f>
        <x:v>1100</x:v>
      </x:c>
      <x:c r="M335" s="2" t="n">
        <x:f>ROUND(L335*(1-I335),2)</x:f>
        <x:v>990</x:v>
      </x:c>
      <x:c r="N335" s="2" t="n">
        <x:f>G335*J335</x:f>
        <x:v>650</x:v>
      </x:c>
      <x:c r="O335" s="2" t="n">
        <x:f>M335-N335-K335</x:f>
        <x:v>290</x:v>
      </x:c>
      <x:c r="P335" s="1" t="str">
        <x:f>TEXT(B335,"yyyy-mm")</x:f>
        <x:v>2025-04</x:v>
      </x:c>
    </x:row>
    <x:row r="336">
      <x:c r="A336" s="1" t="str">
        <x:v>ORD-0332</x:v>
      </x:c>
      <x:c r="B336" s="4" t="d">
        <x:v>2025-12-31T00:00:00.000Z</x:v>
      </x:c>
      <x:c r="C336" s="1" t="str">
        <x:v>C-107</x:v>
      </x:c>
      <x:c r="D336" s="1" t="str">
        <x:v>South</x:v>
      </x:c>
      <x:c r="E336" s="1" t="str">
        <x:v>Fashion</x:v>
      </x:c>
      <x:c r="F336" s="1" t="str">
        <x:v>Backpack</x:v>
      </x:c>
      <x:c r="G336" s="1" t="n">
        <x:v>4</x:v>
      </x:c>
      <x:c r="H336" s="2" t="n">
        <x:v>1300</x:v>
      </x:c>
      <x:c r="I336" s="3" t="n">
        <x:v>0</x:v>
      </x:c>
      <x:c r="J336" s="2" t="n">
        <x:v>650</x:v>
      </x:c>
      <x:c r="K336" s="2" t="n">
        <x:v>50</x:v>
      </x:c>
      <x:c r="L336" s="2" t="n">
        <x:f>G336*H336</x:f>
        <x:v>5200</x:v>
      </x:c>
      <x:c r="M336" s="2" t="n">
        <x:f>ROUND(L336*(1-I336),2)</x:f>
        <x:v>5200</x:v>
      </x:c>
      <x:c r="N336" s="2" t="n">
        <x:f>G336*J336</x:f>
        <x:v>2600</x:v>
      </x:c>
      <x:c r="O336" s="2" t="n">
        <x:f>M336-N336-K336</x:f>
        <x:v>2550</x:v>
      </x:c>
      <x:c r="P336" s="1" t="str">
        <x:f>TEXT(B336,"yyyy-mm")</x:f>
        <x:v>2025-12</x:v>
      </x:c>
    </x:row>
    <x:row r="337">
      <x:c r="A337" s="1" t="str">
        <x:v>ORD-0333</x:v>
      </x:c>
      <x:c r="B337" s="4" t="d">
        <x:v>2025-05-27T00:00:00.000Z</x:v>
      </x:c>
      <x:c r="C337" s="1" t="str">
        <x:v>C-200</x:v>
      </x:c>
      <x:c r="D337" s="1" t="str">
        <x:v>East</x:v>
      </x:c>
      <x:c r="E337" s="1" t="str">
        <x:v>Fashion</x:v>
      </x:c>
      <x:c r="F337" s="1" t="str">
        <x:v>T-shirt</x:v>
      </x:c>
      <x:c r="G337" s="1" t="n">
        <x:v>4</x:v>
      </x:c>
      <x:c r="H337" s="2" t="n">
        <x:v>700</x:v>
      </x:c>
      <x:c r="I337" s="3" t="n">
        <x:v>0.25</x:v>
      </x:c>
      <x:c r="J337" s="2" t="n">
        <x:v>300</x:v>
      </x:c>
      <x:c r="K337" s="2" t="n">
        <x:v>120</x:v>
      </x:c>
      <x:c r="L337" s="2" t="n">
        <x:f>G337*H337</x:f>
        <x:v>2800</x:v>
      </x:c>
      <x:c r="M337" s="2" t="n">
        <x:f>ROUND(L337*(1-I337),2)</x:f>
        <x:v>2100</x:v>
      </x:c>
      <x:c r="N337" s="2" t="n">
        <x:f>G337*J337</x:f>
        <x:v>1200</x:v>
      </x:c>
      <x:c r="O337" s="2" t="n">
        <x:f>M337-N337-K337</x:f>
        <x:v>780</x:v>
      </x:c>
      <x:c r="P337" s="1" t="str">
        <x:f>TEXT(B337,"yyyy-mm")</x:f>
        <x:v>2025-05</x:v>
      </x:c>
    </x:row>
    <x:row r="338">
      <x:c r="A338" s="1" t="str">
        <x:v>ORD-0334</x:v>
      </x:c>
      <x:c r="B338" s="4" t="d">
        <x:v>2025-03-24T00:00:00.000Z</x:v>
      </x:c>
      <x:c r="C338" s="1" t="str">
        <x:v>C-178</x:v>
      </x:c>
      <x:c r="D338" s="1" t="str">
        <x:v>North</x:v>
      </x:c>
      <x:c r="E338" s="1" t="str">
        <x:v>Electronics</x:v>
      </x:c>
      <x:c r="F338" s="1" t="str">
        <x:v>Keyboard</x:v>
      </x:c>
      <x:c r="G338" s="1" t="n">
        <x:v>1</x:v>
      </x:c>
      <x:c r="H338" s="2" t="n">
        <x:v>1500</x:v>
      </x:c>
      <x:c r="I338" s="3" t="n">
        <x:v>0.25</x:v>
      </x:c>
      <x:c r="J338" s="2" t="n">
        <x:v>900</x:v>
      </x:c>
      <x:c r="K338" s="2" t="n">
        <x:v>80</x:v>
      </x:c>
      <x:c r="L338" s="2" t="n">
        <x:f>G338*H338</x:f>
        <x:v>1500</x:v>
      </x:c>
      <x:c r="M338" s="2" t="n">
        <x:f>ROUND(L338*(1-I338),2)</x:f>
        <x:v>1125</x:v>
      </x:c>
      <x:c r="N338" s="2" t="n">
        <x:f>G338*J338</x:f>
        <x:v>900</x:v>
      </x:c>
      <x:c r="O338" s="2" t="n">
        <x:f>M338-N338-K338</x:f>
        <x:v>145</x:v>
      </x:c>
      <x:c r="P338" s="1" t="str">
        <x:f>TEXT(B338,"yyyy-mm")</x:f>
        <x:v>2025-03</x:v>
      </x:c>
    </x:row>
    <x:row r="339">
      <x:c r="A339" s="1" t="str">
        <x:v>ORD-0335</x:v>
      </x:c>
      <x:c r="B339" s="4" t="d">
        <x:v>2025-04-20T00:00:00.000Z</x:v>
      </x:c>
      <x:c r="C339" s="1" t="str">
        <x:v>C-204</x:v>
      </x:c>
      <x:c r="D339" s="1" t="str">
        <x:v>East</x:v>
      </x:c>
      <x:c r="E339" s="1" t="str">
        <x:v>Electronics</x:v>
      </x:c>
      <x:c r="F339" s="1" t="str">
        <x:v>Keyboard</x:v>
      </x:c>
      <x:c r="G339" s="1" t="n">
        <x:v>1</x:v>
      </x:c>
      <x:c r="H339" s="2" t="n">
        <x:v>1500</x:v>
      </x:c>
      <x:c r="I339" s="3" t="n">
        <x:v>0.1</x:v>
      </x:c>
      <x:c r="J339" s="2" t="n">
        <x:v>900</x:v>
      </x:c>
      <x:c r="K339" s="2" t="n">
        <x:v>120</x:v>
      </x:c>
      <x:c r="L339" s="2" t="n">
        <x:f>G339*H339</x:f>
        <x:v>1500</x:v>
      </x:c>
      <x:c r="M339" s="2" t="n">
        <x:f>ROUND(L339*(1-I339),2)</x:f>
        <x:v>1350</x:v>
      </x:c>
      <x:c r="N339" s="2" t="n">
        <x:f>G339*J339</x:f>
        <x:v>900</x:v>
      </x:c>
      <x:c r="O339" s="2" t="n">
        <x:f>M339-N339-K339</x:f>
        <x:v>330</x:v>
      </x:c>
      <x:c r="P339" s="1" t="str">
        <x:f>TEXT(B339,"yyyy-mm")</x:f>
        <x:v>2025-04</x:v>
      </x:c>
    </x:row>
    <x:row r="340">
      <x:c r="A340" s="1" t="str">
        <x:v>ORD-0336</x:v>
      </x:c>
      <x:c r="B340" s="4" t="d">
        <x:v>2025-05-08T00:00:00.000Z</x:v>
      </x:c>
      <x:c r="C340" s="1" t="str">
        <x:v>C-183</x:v>
      </x:c>
      <x:c r="D340" s="1" t="str">
        <x:v>West</x:v>
      </x:c>
      <x:c r="E340" s="1" t="str">
        <x:v>Home</x:v>
      </x:c>
      <x:c r="F340" s="1" t="str">
        <x:v>Desk lamp</x:v>
      </x:c>
      <x:c r="G340" s="1" t="n">
        <x:v>4</x:v>
      </x:c>
      <x:c r="H340" s="2" t="n">
        <x:v>1100</x:v>
      </x:c>
      <x:c r="I340" s="3" t="n">
        <x:v>0.15</x:v>
      </x:c>
      <x:c r="J340" s="2" t="n">
        <x:v>650</x:v>
      </x:c>
      <x:c r="K340" s="2" t="n">
        <x:v>50</x:v>
      </x:c>
      <x:c r="L340" s="2" t="n">
        <x:f>G340*H340</x:f>
        <x:v>4400</x:v>
      </x:c>
      <x:c r="M340" s="2" t="n">
        <x:f>ROUND(L340*(1-I340),2)</x:f>
        <x:v>3740</x:v>
      </x:c>
      <x:c r="N340" s="2" t="n">
        <x:f>G340*J340</x:f>
        <x:v>2600</x:v>
      </x:c>
      <x:c r="O340" s="2" t="n">
        <x:f>M340-N340-K340</x:f>
        <x:v>1090</x:v>
      </x:c>
      <x:c r="P340" s="1" t="str">
        <x:f>TEXT(B340,"yyyy-mm")</x:f>
        <x:v>2025-05</x:v>
      </x:c>
    </x:row>
    <x:row r="341">
      <x:c r="A341" s="1" t="str">
        <x:v>ORD-0337</x:v>
      </x:c>
      <x:c r="B341" s="4" t="d">
        <x:v>2025-10-25T00:00:00.000Z</x:v>
      </x:c>
      <x:c r="C341" s="1" t="str">
        <x:v>C-152</x:v>
      </x:c>
      <x:c r="D341" s="1" t="str">
        <x:v>South</x:v>
      </x:c>
      <x:c r="E341" s="1" t="str">
        <x:v>Home</x:v>
      </x:c>
      <x:c r="F341" s="1" t="str">
        <x:v>Office chair</x:v>
      </x:c>
      <x:c r="G341" s="1" t="n">
        <x:v>1</x:v>
      </x:c>
      <x:c r="H341" s="2" t="n">
        <x:v>5500</x:v>
      </x:c>
      <x:c r="I341" s="3" t="n">
        <x:v>0</x:v>
      </x:c>
      <x:c r="J341" s="2" t="n">
        <x:v>4400</x:v>
      </x:c>
      <x:c r="K341" s="2" t="n">
        <x:v>50</x:v>
      </x:c>
      <x:c r="L341" s="2" t="n">
        <x:f>G341*H341</x:f>
        <x:v>5500</x:v>
      </x:c>
      <x:c r="M341" s="2" t="n">
        <x:f>ROUND(L341*(1-I341),2)</x:f>
        <x:v>5500</x:v>
      </x:c>
      <x:c r="N341" s="2" t="n">
        <x:f>G341*J341</x:f>
        <x:v>4400</x:v>
      </x:c>
      <x:c r="O341" s="2" t="n">
        <x:f>M341-N341-K341</x:f>
        <x:v>1050</x:v>
      </x:c>
      <x:c r="P341" s="1" t="str">
        <x:f>TEXT(B341,"yyyy-mm")</x:f>
        <x:v>2025-10</x:v>
      </x:c>
    </x:row>
    <x:row r="342">
      <x:c r="A342" s="1" t="str">
        <x:v>ORD-0338</x:v>
      </x:c>
      <x:c r="B342" s="4" t="d">
        <x:v>2025-05-26T00:00:00.000Z</x:v>
      </x:c>
      <x:c r="C342" s="1" t="str">
        <x:v>C-079</x:v>
      </x:c>
      <x:c r="D342" s="1" t="str">
        <x:v>West</x:v>
      </x:c>
      <x:c r="E342" s="1" t="str">
        <x:v>Home</x:v>
      </x:c>
      <x:c r="F342" s="1" t="str">
        <x:v>Office chair</x:v>
      </x:c>
      <x:c r="G342" s="1" t="n">
        <x:v>3</x:v>
      </x:c>
      <x:c r="H342" s="2" t="n">
        <x:v>5500</x:v>
      </x:c>
      <x:c r="I342" s="3" t="n">
        <x:v>0.35</x:v>
      </x:c>
      <x:c r="J342" s="2" t="n">
        <x:v>4400</x:v>
      </x:c>
      <x:c r="K342" s="2" t="n">
        <x:v>80</x:v>
      </x:c>
      <x:c r="L342" s="2" t="n">
        <x:f>G342*H342</x:f>
        <x:v>16500</x:v>
      </x:c>
      <x:c r="M342" s="2" t="n">
        <x:f>ROUND(L342*(1-I342),2)</x:f>
        <x:v>10725</x:v>
      </x:c>
      <x:c r="N342" s="2" t="n">
        <x:f>G342*J342</x:f>
        <x:v>13200</x:v>
      </x:c>
      <x:c r="O342" s="2" t="n">
        <x:f>M342-N342-K342</x:f>
        <x:v>-2555</x:v>
      </x:c>
      <x:c r="P342" s="1" t="str">
        <x:f>TEXT(B342,"yyyy-mm")</x:f>
        <x:v>2025-05</x:v>
      </x:c>
    </x:row>
    <x:row r="343">
      <x:c r="A343" s="1" t="str">
        <x:v>ORD-0339</x:v>
      </x:c>
      <x:c r="B343" s="4" t="d">
        <x:v>2025-02-15T00:00:00.000Z</x:v>
      </x:c>
      <x:c r="C343" s="1" t="str">
        <x:v>C-185</x:v>
      </x:c>
      <x:c r="D343" s="1" t="str">
        <x:v>East</x:v>
      </x:c>
      <x:c r="E343" s="1" t="str">
        <x:v>Electronics</x:v>
      </x:c>
      <x:c r="F343" s="1" t="str">
        <x:v>Headphones</x:v>
      </x:c>
      <x:c r="G343" s="1" t="n">
        <x:v>1</x:v>
      </x:c>
      <x:c r="H343" s="2" t="n">
        <x:v>2200</x:v>
      </x:c>
      <x:c r="I343" s="3" t="n">
        <x:v>0.1</x:v>
      </x:c>
      <x:c r="J343" s="2" t="n">
        <x:v>1450</x:v>
      </x:c>
      <x:c r="K343" s="2" t="n">
        <x:v>50</x:v>
      </x:c>
      <x:c r="L343" s="2" t="n">
        <x:f>G343*H343</x:f>
        <x:v>2200</x:v>
      </x:c>
      <x:c r="M343" s="2" t="n">
        <x:f>ROUND(L343*(1-I343),2)</x:f>
        <x:v>1980</x:v>
      </x:c>
      <x:c r="N343" s="2" t="n">
        <x:f>G343*J343</x:f>
        <x:v>1450</x:v>
      </x:c>
      <x:c r="O343" s="2" t="n">
        <x:f>M343-N343-K343</x:f>
        <x:v>480</x:v>
      </x:c>
      <x:c r="P343" s="1" t="str">
        <x:f>TEXT(B343,"yyyy-mm")</x:f>
        <x:v>2025-02</x:v>
      </x:c>
    </x:row>
    <x:row r="344">
      <x:c r="A344" s="1" t="str">
        <x:v>ORD-0340</x:v>
      </x:c>
      <x:c r="B344" s="4" t="d">
        <x:v>2025-02-18T00:00:00.000Z</x:v>
      </x:c>
      <x:c r="C344" s="1" t="str">
        <x:v>C-285</x:v>
      </x:c>
      <x:c r="D344" s="1" t="str">
        <x:v>West</x:v>
      </x:c>
      <x:c r="E344" s="1" t="str">
        <x:v>Home</x:v>
      </x:c>
      <x:c r="F344" s="1" t="str">
        <x:v>Office chair</x:v>
      </x:c>
      <x:c r="G344" s="1" t="n">
        <x:v>1</x:v>
      </x:c>
      <x:c r="H344" s="2" t="n">
        <x:v>5500</x:v>
      </x:c>
      <x:c r="I344" s="3" t="n">
        <x:v>0.15</x:v>
      </x:c>
      <x:c r="J344" s="2" t="n">
        <x:v>4400</x:v>
      </x:c>
      <x:c r="K344" s="2" t="n">
        <x:v>50</x:v>
      </x:c>
      <x:c r="L344" s="2" t="n">
        <x:f>G344*H344</x:f>
        <x:v>5500</x:v>
      </x:c>
      <x:c r="M344" s="2" t="n">
        <x:f>ROUND(L344*(1-I344),2)</x:f>
        <x:v>4675</x:v>
      </x:c>
      <x:c r="N344" s="2" t="n">
        <x:f>G344*J344</x:f>
        <x:v>4400</x:v>
      </x:c>
      <x:c r="O344" s="2" t="n">
        <x:f>M344-N344-K344</x:f>
        <x:v>225</x:v>
      </x:c>
      <x:c r="P344" s="1" t="str">
        <x:f>TEXT(B344,"yyyy-mm")</x:f>
        <x:v>2025-02</x:v>
      </x:c>
    </x:row>
    <x:row r="345">
      <x:c r="A345" s="1" t="str">
        <x:v>ORD-0341</x:v>
      </x:c>
      <x:c r="B345" s="4" t="d">
        <x:v>2025-02-20T00:00:00.000Z</x:v>
      </x:c>
      <x:c r="C345" s="1" t="str">
        <x:v>C-167</x:v>
      </x:c>
      <x:c r="D345" s="1" t="str">
        <x:v>West</x:v>
      </x:c>
      <x:c r="E345" s="1" t="str">
        <x:v>Home</x:v>
      </x:c>
      <x:c r="F345" s="1" t="str">
        <x:v>Storage box</x:v>
      </x:c>
      <x:c r="G345" s="1" t="n">
        <x:v>1</x:v>
      </x:c>
      <x:c r="H345" s="2" t="n">
        <x:v>800</x:v>
      </x:c>
      <x:c r="I345" s="3" t="n">
        <x:v>0</x:v>
      </x:c>
      <x:c r="J345" s="2" t="n">
        <x:v>420</x:v>
      </x:c>
      <x:c r="K345" s="2" t="n">
        <x:v>80</x:v>
      </x:c>
      <x:c r="L345" s="2" t="n">
        <x:f>G345*H345</x:f>
        <x:v>800</x:v>
      </x:c>
      <x:c r="M345" s="2" t="n">
        <x:f>ROUND(L345*(1-I345),2)</x:f>
        <x:v>800</x:v>
      </x:c>
      <x:c r="N345" s="2" t="n">
        <x:f>G345*J345</x:f>
        <x:v>420</x:v>
      </x:c>
      <x:c r="O345" s="2" t="n">
        <x:f>M345-N345-K345</x:f>
        <x:v>300</x:v>
      </x:c>
      <x:c r="P345" s="1" t="str">
        <x:f>TEXT(B345,"yyyy-mm")</x:f>
        <x:v>2025-02</x:v>
      </x:c>
    </x:row>
    <x:row r="346">
      <x:c r="A346" s="1" t="str">
        <x:v>ORD-0342</x:v>
      </x:c>
      <x:c r="B346" s="4" t="d">
        <x:v>2025-07-29T00:00:00.000Z</x:v>
      </x:c>
      <x:c r="C346" s="1" t="str">
        <x:v>C-287</x:v>
      </x:c>
      <x:c r="D346" s="1" t="str">
        <x:v>South</x:v>
      </x:c>
      <x:c r="E346" s="1" t="str">
        <x:v>Electronics</x:v>
      </x:c>
      <x:c r="F346" s="1" t="str">
        <x:v>Keyboard</x:v>
      </x:c>
      <x:c r="G346" s="1" t="n">
        <x:v>2</x:v>
      </x:c>
      <x:c r="H346" s="2" t="n">
        <x:v>1500</x:v>
      </x:c>
      <x:c r="I346" s="3" t="n">
        <x:v>0.35</x:v>
      </x:c>
      <x:c r="J346" s="2" t="n">
        <x:v>900</x:v>
      </x:c>
      <x:c r="K346" s="2" t="n">
        <x:v>120</x:v>
      </x:c>
      <x:c r="L346" s="2" t="n">
        <x:f>G346*H346</x:f>
        <x:v>3000</x:v>
      </x:c>
      <x:c r="M346" s="2" t="n">
        <x:f>ROUND(L346*(1-I346),2)</x:f>
        <x:v>1950</x:v>
      </x:c>
      <x:c r="N346" s="2" t="n">
        <x:f>G346*J346</x:f>
        <x:v>1800</x:v>
      </x:c>
      <x:c r="O346" s="2" t="n">
        <x:f>M346-N346-K346</x:f>
        <x:v>30</x:v>
      </x:c>
      <x:c r="P346" s="1" t="str">
        <x:f>TEXT(B346,"yyyy-mm")</x:f>
        <x:v>2025-07</x:v>
      </x:c>
    </x:row>
    <x:row r="347">
      <x:c r="A347" s="1" t="str">
        <x:v>ORD-0343</x:v>
      </x:c>
      <x:c r="B347" s="4" t="d">
        <x:v>2025-06-10T00:00:00.000Z</x:v>
      </x:c>
      <x:c r="C347" s="1" t="str">
        <x:v>C-138</x:v>
      </x:c>
      <x:c r="D347" s="1" t="str">
        <x:v>West</x:v>
      </x:c>
      <x:c r="E347" s="1" t="str">
        <x:v>Electronics</x:v>
      </x:c>
      <x:c r="F347" s="1" t="str">
        <x:v>Smartwatch</x:v>
      </x:c>
      <x:c r="G347" s="1" t="n">
        <x:v>2</x:v>
      </x:c>
      <x:c r="H347" s="2" t="n">
        <x:v>4200</x:v>
      </x:c>
      <x:c r="I347" s="3" t="n">
        <x:v>0.1</x:v>
      </x:c>
      <x:c r="J347" s="2" t="n">
        <x:v>3000</x:v>
      </x:c>
      <x:c r="K347" s="2" t="n">
        <x:v>50</x:v>
      </x:c>
      <x:c r="L347" s="2" t="n">
        <x:f>G347*H347</x:f>
        <x:v>8400</x:v>
      </x:c>
      <x:c r="M347" s="2" t="n">
        <x:f>ROUND(L347*(1-I347),2)</x:f>
        <x:v>7560</x:v>
      </x:c>
      <x:c r="N347" s="2" t="n">
        <x:f>G347*J347</x:f>
        <x:v>6000</x:v>
      </x:c>
      <x:c r="O347" s="2" t="n">
        <x:f>M347-N347-K347</x:f>
        <x:v>1510</x:v>
      </x:c>
      <x:c r="P347" s="1" t="str">
        <x:f>TEXT(B347,"yyyy-mm")</x:f>
        <x:v>2025-06</x:v>
      </x:c>
    </x:row>
    <x:row r="348">
      <x:c r="A348" s="1" t="str">
        <x:v>ORD-0344</x:v>
      </x:c>
      <x:c r="B348" s="4" t="d">
        <x:v>2025-03-10T00:00:00.000Z</x:v>
      </x:c>
      <x:c r="C348" s="1" t="str">
        <x:v>C-248</x:v>
      </x:c>
      <x:c r="D348" s="1" t="str">
        <x:v>North</x:v>
      </x:c>
      <x:c r="E348" s="1" t="str">
        <x:v>Fashion</x:v>
      </x:c>
      <x:c r="F348" s="1" t="str">
        <x:v>Sneakers</x:v>
      </x:c>
      <x:c r="G348" s="1" t="n">
        <x:v>3</x:v>
      </x:c>
      <x:c r="H348" s="2" t="n">
        <x:v>2400</x:v>
      </x:c>
      <x:c r="I348" s="3" t="n">
        <x:v>0.15</x:v>
      </x:c>
      <x:c r="J348" s="2" t="n">
        <x:v>1200</x:v>
      </x:c>
      <x:c r="K348" s="2" t="n">
        <x:v>80</x:v>
      </x:c>
      <x:c r="L348" s="2" t="n">
        <x:f>G348*H348</x:f>
        <x:v>7200</x:v>
      </x:c>
      <x:c r="M348" s="2" t="n">
        <x:f>ROUND(L348*(1-I348),2)</x:f>
        <x:v>6120</x:v>
      </x:c>
      <x:c r="N348" s="2" t="n">
        <x:f>G348*J348</x:f>
        <x:v>3600</x:v>
      </x:c>
      <x:c r="O348" s="2" t="n">
        <x:f>M348-N348-K348</x:f>
        <x:v>2440</x:v>
      </x:c>
      <x:c r="P348" s="1" t="str">
        <x:f>TEXT(B348,"yyyy-mm")</x:f>
        <x:v>2025-03</x:v>
      </x:c>
    </x:row>
    <x:row r="349">
      <x:c r="A349" s="1" t="str">
        <x:v>ORD-0345</x:v>
      </x:c>
      <x:c r="B349" s="4" t="d">
        <x:v>2025-12-20T00:00:00.000Z</x:v>
      </x:c>
      <x:c r="C349" s="1" t="str">
        <x:v>C-101</x:v>
      </x:c>
      <x:c r="D349" s="1" t="str">
        <x:v>West</x:v>
      </x:c>
      <x:c r="E349" s="1" t="str">
        <x:v>Home</x:v>
      </x:c>
      <x:c r="F349" s="1" t="str">
        <x:v>Desk lamp</x:v>
      </x:c>
      <x:c r="G349" s="1" t="n">
        <x:v>1</x:v>
      </x:c>
      <x:c r="H349" s="2" t="n">
        <x:v>1100</x:v>
      </x:c>
      <x:c r="I349" s="3" t="n">
        <x:v>0.25</x:v>
      </x:c>
      <x:c r="J349" s="2" t="n">
        <x:v>650</x:v>
      </x:c>
      <x:c r="K349" s="2" t="n">
        <x:v>50</x:v>
      </x:c>
      <x:c r="L349" s="2" t="n">
        <x:f>G349*H349</x:f>
        <x:v>1100</x:v>
      </x:c>
      <x:c r="M349" s="2" t="n">
        <x:f>ROUND(L349*(1-I349),2)</x:f>
        <x:v>825</x:v>
      </x:c>
      <x:c r="N349" s="2" t="n">
        <x:f>G349*J349</x:f>
        <x:v>650</x:v>
      </x:c>
      <x:c r="O349" s="2" t="n">
        <x:f>M349-N349-K349</x:f>
        <x:v>125</x:v>
      </x:c>
      <x:c r="P349" s="1" t="str">
        <x:f>TEXT(B349,"yyyy-mm")</x:f>
        <x:v>2025-12</x:v>
      </x:c>
    </x:row>
    <x:row r="350">
      <x:c r="A350" s="1" t="str">
        <x:v>ORD-0346</x:v>
      </x:c>
      <x:c r="B350" s="4" t="d">
        <x:v>2025-05-27T00:00:00.000Z</x:v>
      </x:c>
      <x:c r="C350" s="1" t="str">
        <x:v>C-195</x:v>
      </x:c>
      <x:c r="D350" s="1" t="str">
        <x:v>East</x:v>
      </x:c>
      <x:c r="E350" s="1" t="str">
        <x:v>Home</x:v>
      </x:c>
      <x:c r="F350" s="1" t="str">
        <x:v>Office chair</x:v>
      </x:c>
      <x:c r="G350" s="1" t="n">
        <x:v>4</x:v>
      </x:c>
      <x:c r="H350" s="2" t="n">
        <x:v>5500</x:v>
      </x:c>
      <x:c r="I350" s="3" t="n">
        <x:v>0.1</x:v>
      </x:c>
      <x:c r="J350" s="2" t="n">
        <x:v>4400</x:v>
      </x:c>
      <x:c r="K350" s="2" t="n">
        <x:v>80</x:v>
      </x:c>
      <x:c r="L350" s="2" t="n">
        <x:f>G350*H350</x:f>
        <x:v>22000</x:v>
      </x:c>
      <x:c r="M350" s="2" t="n">
        <x:f>ROUND(L350*(1-I350),2)</x:f>
        <x:v>19800</x:v>
      </x:c>
      <x:c r="N350" s="2" t="n">
        <x:f>G350*J350</x:f>
        <x:v>17600</x:v>
      </x:c>
      <x:c r="O350" s="2" t="n">
        <x:f>M350-N350-K350</x:f>
        <x:v>2120</x:v>
      </x:c>
      <x:c r="P350" s="1" t="str">
        <x:f>TEXT(B350,"yyyy-mm")</x:f>
        <x:v>2025-05</x:v>
      </x:c>
    </x:row>
    <x:row r="351">
      <x:c r="A351" s="1" t="str">
        <x:v>ORD-0347</x:v>
      </x:c>
      <x:c r="B351" s="4" t="d">
        <x:v>2025-07-11T00:00:00.000Z</x:v>
      </x:c>
      <x:c r="C351" s="1" t="str">
        <x:v>C-103</x:v>
      </x:c>
      <x:c r="D351" s="1" t="str">
        <x:v>West</x:v>
      </x:c>
      <x:c r="E351" s="1" t="str">
        <x:v>Electronics</x:v>
      </x:c>
      <x:c r="F351" s="1" t="str">
        <x:v>Smartwatch</x:v>
      </x:c>
      <x:c r="G351" s="1" t="n">
        <x:v>3</x:v>
      </x:c>
      <x:c r="H351" s="2" t="n">
        <x:v>4200</x:v>
      </x:c>
      <x:c r="I351" s="3" t="n">
        <x:v>0.1</x:v>
      </x:c>
      <x:c r="J351" s="2" t="n">
        <x:v>3000</x:v>
      </x:c>
      <x:c r="K351" s="2" t="n">
        <x:v>50</x:v>
      </x:c>
      <x:c r="L351" s="2" t="n">
        <x:f>G351*H351</x:f>
        <x:v>12600</x:v>
      </x:c>
      <x:c r="M351" s="2" t="n">
        <x:f>ROUND(L351*(1-I351),2)</x:f>
        <x:v>11340</x:v>
      </x:c>
      <x:c r="N351" s="2" t="n">
        <x:f>G351*J351</x:f>
        <x:v>9000</x:v>
      </x:c>
      <x:c r="O351" s="2" t="n">
        <x:f>M351-N351-K351</x:f>
        <x:v>2290</x:v>
      </x:c>
      <x:c r="P351" s="1" t="str">
        <x:f>TEXT(B351,"yyyy-mm")</x:f>
        <x:v>2025-07</x:v>
      </x:c>
    </x:row>
    <x:row r="352">
      <x:c r="A352" s="1" t="str">
        <x:v>ORD-0348</x:v>
      </x:c>
      <x:c r="B352" s="4" t="d">
        <x:v>2025-12-24T00:00:00.000Z</x:v>
      </x:c>
      <x:c r="C352" s="1" t="str">
        <x:v>C-252</x:v>
      </x:c>
      <x:c r="D352" s="1" t="str">
        <x:v>South</x:v>
      </x:c>
      <x:c r="E352" s="1" t="str">
        <x:v>Fashion</x:v>
      </x:c>
      <x:c r="F352" s="1" t="str">
        <x:v>Backpack</x:v>
      </x:c>
      <x:c r="G352" s="1" t="n">
        <x:v>3</x:v>
      </x:c>
      <x:c r="H352" s="2" t="n">
        <x:v>1300</x:v>
      </x:c>
      <x:c r="I352" s="3" t="n">
        <x:v>0.1</x:v>
      </x:c>
      <x:c r="J352" s="2" t="n">
        <x:v>650</x:v>
      </x:c>
      <x:c r="K352" s="2" t="n">
        <x:v>80</x:v>
      </x:c>
      <x:c r="L352" s="2" t="n">
        <x:f>G352*H352</x:f>
        <x:v>3900</x:v>
      </x:c>
      <x:c r="M352" s="2" t="n">
        <x:f>ROUND(L352*(1-I352),2)</x:f>
        <x:v>3510</x:v>
      </x:c>
      <x:c r="N352" s="2" t="n">
        <x:f>G352*J352</x:f>
        <x:v>1950</x:v>
      </x:c>
      <x:c r="O352" s="2" t="n">
        <x:f>M352-N352-K352</x:f>
        <x:v>1480</x:v>
      </x:c>
      <x:c r="P352" s="1" t="str">
        <x:f>TEXT(B352,"yyyy-mm")</x:f>
        <x:v>2025-12</x:v>
      </x:c>
    </x:row>
    <x:row r="353">
      <x:c r="A353" s="1" t="str">
        <x:v>ORD-0349</x:v>
      </x:c>
      <x:c r="B353" s="4" t="d">
        <x:v>2025-05-04T00:00:00.000Z</x:v>
      </x:c>
      <x:c r="C353" s="1" t="str">
        <x:v>C-289</x:v>
      </x:c>
      <x:c r="D353" s="1" t="str">
        <x:v>South</x:v>
      </x:c>
      <x:c r="E353" s="1" t="str">
        <x:v>Home</x:v>
      </x:c>
      <x:c r="F353" s="1" t="str">
        <x:v>Office chair</x:v>
      </x:c>
      <x:c r="G353" s="1" t="n">
        <x:v>2</x:v>
      </x:c>
      <x:c r="H353" s="2" t="n">
        <x:v>5500</x:v>
      </x:c>
      <x:c r="I353" s="3" t="n">
        <x:v>0.1</x:v>
      </x:c>
      <x:c r="J353" s="2" t="n">
        <x:v>4400</x:v>
      </x:c>
      <x:c r="K353" s="2" t="n">
        <x:v>120</x:v>
      </x:c>
      <x:c r="L353" s="2" t="n">
        <x:f>G353*H353</x:f>
        <x:v>11000</x:v>
      </x:c>
      <x:c r="M353" s="2" t="n">
        <x:f>ROUND(L353*(1-I353),2)</x:f>
        <x:v>9900</x:v>
      </x:c>
      <x:c r="N353" s="2" t="n">
        <x:f>G353*J353</x:f>
        <x:v>8800</x:v>
      </x:c>
      <x:c r="O353" s="2" t="n">
        <x:f>M353-N353-K353</x:f>
        <x:v>980</x:v>
      </x:c>
      <x:c r="P353" s="1" t="str">
        <x:f>TEXT(B353,"yyyy-mm")</x:f>
        <x:v>2025-05</x:v>
      </x:c>
    </x:row>
    <x:row r="354">
      <x:c r="A354" s="1" t="str">
        <x:v>ORD-0350</x:v>
      </x:c>
      <x:c r="B354" s="4" t="d">
        <x:v>2025-10-15T00:00:00.000Z</x:v>
      </x:c>
      <x:c r="C354" s="1" t="str">
        <x:v>C-108</x:v>
      </x:c>
      <x:c r="D354" s="1" t="str">
        <x:v>West</x:v>
      </x:c>
      <x:c r="E354" s="1" t="str">
        <x:v>Electronics</x:v>
      </x:c>
      <x:c r="F354" s="1" t="str">
        <x:v>Headphones</x:v>
      </x:c>
      <x:c r="G354" s="1" t="n">
        <x:v>3</x:v>
      </x:c>
      <x:c r="H354" s="2" t="n">
        <x:v>2200</x:v>
      </x:c>
      <x:c r="I354" s="3" t="n">
        <x:v>0.35</x:v>
      </x:c>
      <x:c r="J354" s="2" t="n">
        <x:v>1450</x:v>
      </x:c>
      <x:c r="K354" s="2" t="n">
        <x:v>120</x:v>
      </x:c>
      <x:c r="L354" s="2" t="n">
        <x:f>G354*H354</x:f>
        <x:v>6600</x:v>
      </x:c>
      <x:c r="M354" s="2" t="n">
        <x:f>ROUND(L354*(1-I354),2)</x:f>
        <x:v>4290</x:v>
      </x:c>
      <x:c r="N354" s="2" t="n">
        <x:f>G354*J354</x:f>
        <x:v>4350</x:v>
      </x:c>
      <x:c r="O354" s="2" t="n">
        <x:f>M354-N354-K354</x:f>
        <x:v>-180</x:v>
      </x:c>
      <x:c r="P354" s="1" t="str">
        <x:f>TEXT(B354,"yyyy-mm")</x:f>
        <x:v>2025-10</x:v>
      </x:c>
    </x:row>
    <x:row r="355">
      <x:c r="A355" s="1" t="str">
        <x:v>ORD-0351</x:v>
      </x:c>
      <x:c r="B355" s="4" t="d">
        <x:v>2025-02-16T00:00:00.000Z</x:v>
      </x:c>
      <x:c r="C355" s="1" t="str">
        <x:v>C-072</x:v>
      </x:c>
      <x:c r="D355" s="1" t="str">
        <x:v>East</x:v>
      </x:c>
      <x:c r="E355" s="1" t="str">
        <x:v>Home</x:v>
      </x:c>
      <x:c r="F355" s="1" t="str">
        <x:v>Office chair</x:v>
      </x:c>
      <x:c r="G355" s="1" t="n">
        <x:v>2</x:v>
      </x:c>
      <x:c r="H355" s="2" t="n">
        <x:v>5500</x:v>
      </x:c>
      <x:c r="I355" s="3" t="n">
        <x:v>0.35</x:v>
      </x:c>
      <x:c r="J355" s="2" t="n">
        <x:v>4400</x:v>
      </x:c>
      <x:c r="K355" s="2" t="n">
        <x:v>80</x:v>
      </x:c>
      <x:c r="L355" s="2" t="n">
        <x:f>G355*H355</x:f>
        <x:v>11000</x:v>
      </x:c>
      <x:c r="M355" s="2" t="n">
        <x:f>ROUND(L355*(1-I355),2)</x:f>
        <x:v>7150</x:v>
      </x:c>
      <x:c r="N355" s="2" t="n">
        <x:f>G355*J355</x:f>
        <x:v>8800</x:v>
      </x:c>
      <x:c r="O355" s="2" t="n">
        <x:f>M355-N355-K355</x:f>
        <x:v>-1730</x:v>
      </x:c>
      <x:c r="P355" s="1" t="str">
        <x:f>TEXT(B355,"yyyy-mm")</x:f>
        <x:v>2025-02</x:v>
      </x:c>
    </x:row>
    <x:row r="356">
      <x:c r="A356" s="1" t="str">
        <x:v>ORD-0352</x:v>
      </x:c>
      <x:c r="B356" s="4" t="d">
        <x:v>2025-10-03T00:00:00.000Z</x:v>
      </x:c>
      <x:c r="C356" s="1" t="str">
        <x:v>C-230</x:v>
      </x:c>
      <x:c r="D356" s="1" t="str">
        <x:v>West</x:v>
      </x:c>
      <x:c r="E356" s="1" t="str">
        <x:v>Home</x:v>
      </x:c>
      <x:c r="F356" s="1" t="str">
        <x:v>Office chair</x:v>
      </x:c>
      <x:c r="G356" s="1" t="n">
        <x:v>4</x:v>
      </x:c>
      <x:c r="H356" s="2" t="n">
        <x:v>5500</x:v>
      </x:c>
      <x:c r="I356" s="3" t="n">
        <x:v>0.15</x:v>
      </x:c>
      <x:c r="J356" s="2" t="n">
        <x:v>4400</x:v>
      </x:c>
      <x:c r="K356" s="2" t="n">
        <x:v>120</x:v>
      </x:c>
      <x:c r="L356" s="2" t="n">
        <x:f>G356*H356</x:f>
        <x:v>22000</x:v>
      </x:c>
      <x:c r="M356" s="2" t="n">
        <x:f>ROUND(L356*(1-I356),2)</x:f>
        <x:v>18700</x:v>
      </x:c>
      <x:c r="N356" s="2" t="n">
        <x:f>G356*J356</x:f>
        <x:v>17600</x:v>
      </x:c>
      <x:c r="O356" s="2" t="n">
        <x:f>M356-N356-K356</x:f>
        <x:v>980</x:v>
      </x:c>
      <x:c r="P356" s="1" t="str">
        <x:f>TEXT(B356,"yyyy-mm")</x:f>
        <x:v>2025-10</x:v>
      </x:c>
    </x:row>
    <x:row r="357">
      <x:c r="A357" s="1" t="str">
        <x:v>ORD-0353</x:v>
      </x:c>
      <x:c r="B357" s="4" t="d">
        <x:v>2025-08-02T00:00:00.000Z</x:v>
      </x:c>
      <x:c r="C357" s="1" t="str">
        <x:v>C-185</x:v>
      </x:c>
      <x:c r="D357" s="1" t="str">
        <x:v>North</x:v>
      </x:c>
      <x:c r="E357" s="1" t="str">
        <x:v>Home</x:v>
      </x:c>
      <x:c r="F357" s="1" t="str">
        <x:v>Office chair</x:v>
      </x:c>
      <x:c r="G357" s="1" t="n">
        <x:v>1</x:v>
      </x:c>
      <x:c r="H357" s="2" t="n">
        <x:v>5500</x:v>
      </x:c>
      <x:c r="I357" s="3" t="n">
        <x:v>0.25</x:v>
      </x:c>
      <x:c r="J357" s="2" t="n">
        <x:v>4400</x:v>
      </x:c>
      <x:c r="K357" s="2" t="n">
        <x:v>50</x:v>
      </x:c>
      <x:c r="L357" s="2" t="n">
        <x:f>G357*H357</x:f>
        <x:v>5500</x:v>
      </x:c>
      <x:c r="M357" s="2" t="n">
        <x:f>ROUND(L357*(1-I357),2)</x:f>
        <x:v>4125</x:v>
      </x:c>
      <x:c r="N357" s="2" t="n">
        <x:f>G357*J357</x:f>
        <x:v>4400</x:v>
      </x:c>
      <x:c r="O357" s="2" t="n">
        <x:f>M357-N357-K357</x:f>
        <x:v>-325</x:v>
      </x:c>
      <x:c r="P357" s="1" t="str">
        <x:f>TEXT(B357,"yyyy-mm")</x:f>
        <x:v>2025-08</x:v>
      </x:c>
    </x:row>
    <x:row r="358">
      <x:c r="A358" s="1" t="str">
        <x:v>ORD-0354</x:v>
      </x:c>
      <x:c r="B358" s="4" t="d">
        <x:v>2025-10-21T00:00:00.000Z</x:v>
      </x:c>
      <x:c r="C358" s="1" t="str">
        <x:v>C-023</x:v>
      </x:c>
      <x:c r="D358" s="1" t="str">
        <x:v>West</x:v>
      </x:c>
      <x:c r="E358" s="1" t="str">
        <x:v>Fashion</x:v>
      </x:c>
      <x:c r="F358" s="1" t="str">
        <x:v>Backpack</x:v>
      </x:c>
      <x:c r="G358" s="1" t="n">
        <x:v>3</x:v>
      </x:c>
      <x:c r="H358" s="2" t="n">
        <x:v>1300</x:v>
      </x:c>
      <x:c r="I358" s="3" t="n">
        <x:v>0.05</x:v>
      </x:c>
      <x:c r="J358" s="2" t="n">
        <x:v>650</x:v>
      </x:c>
      <x:c r="K358" s="2" t="n">
        <x:v>80</x:v>
      </x:c>
      <x:c r="L358" s="2" t="n">
        <x:f>G358*H358</x:f>
        <x:v>3900</x:v>
      </x:c>
      <x:c r="M358" s="2" t="n">
        <x:f>ROUND(L358*(1-I358),2)</x:f>
        <x:v>3705</x:v>
      </x:c>
      <x:c r="N358" s="2" t="n">
        <x:f>G358*J358</x:f>
        <x:v>1950</x:v>
      </x:c>
      <x:c r="O358" s="2" t="n">
        <x:f>M358-N358-K358</x:f>
        <x:v>1675</x:v>
      </x:c>
      <x:c r="P358" s="1" t="str">
        <x:f>TEXT(B358,"yyyy-mm")</x:f>
        <x:v>2025-10</x:v>
      </x:c>
    </x:row>
    <x:row r="359">
      <x:c r="A359" s="1" t="str">
        <x:v>ORD-0355</x:v>
      </x:c>
      <x:c r="B359" s="4" t="d">
        <x:v>2025-02-08T00:00:00.000Z</x:v>
      </x:c>
      <x:c r="C359" s="1" t="str">
        <x:v>C-262</x:v>
      </x:c>
      <x:c r="D359" s="1" t="str">
        <x:v>South</x:v>
      </x:c>
      <x:c r="E359" s="1" t="str">
        <x:v>Electronics</x:v>
      </x:c>
      <x:c r="F359" s="1" t="str">
        <x:v>Keyboard</x:v>
      </x:c>
      <x:c r="G359" s="1" t="n">
        <x:v>4</x:v>
      </x:c>
      <x:c r="H359" s="2" t="n">
        <x:v>1500</x:v>
      </x:c>
      <x:c r="I359" s="3" t="n">
        <x:v>0.1</x:v>
      </x:c>
      <x:c r="J359" s="2" t="n">
        <x:v>900</x:v>
      </x:c>
      <x:c r="K359" s="2" t="n">
        <x:v>80</x:v>
      </x:c>
      <x:c r="L359" s="2" t="n">
        <x:f>G359*H359</x:f>
        <x:v>6000</x:v>
      </x:c>
      <x:c r="M359" s="2" t="n">
        <x:f>ROUND(L359*(1-I359),2)</x:f>
        <x:v>5400</x:v>
      </x:c>
      <x:c r="N359" s="2" t="n">
        <x:f>G359*J359</x:f>
        <x:v>3600</x:v>
      </x:c>
      <x:c r="O359" s="2" t="n">
        <x:f>M359-N359-K359</x:f>
        <x:v>1720</x:v>
      </x:c>
      <x:c r="P359" s="1" t="str">
        <x:f>TEXT(B359,"yyyy-mm")</x:f>
        <x:v>2025-02</x:v>
      </x:c>
    </x:row>
    <x:row r="360">
      <x:c r="A360" s="1" t="str">
        <x:v>ORD-0356</x:v>
      </x:c>
      <x:c r="B360" s="4" t="d">
        <x:v>2025-06-12T00:00:00.000Z</x:v>
      </x:c>
      <x:c r="C360" s="1" t="str">
        <x:v>C-013</x:v>
      </x:c>
      <x:c r="D360" s="1" t="str">
        <x:v>West</x:v>
      </x:c>
      <x:c r="E360" s="1" t="str">
        <x:v>Home</x:v>
      </x:c>
      <x:c r="F360" s="1" t="str">
        <x:v>Storage box</x:v>
      </x:c>
      <x:c r="G360" s="1" t="n">
        <x:v>1</x:v>
      </x:c>
      <x:c r="H360" s="2" t="n">
        <x:v>800</x:v>
      </x:c>
      <x:c r="I360" s="3" t="n">
        <x:v>0.05</x:v>
      </x:c>
      <x:c r="J360" s="2" t="n">
        <x:v>420</x:v>
      </x:c>
      <x:c r="K360" s="2" t="n">
        <x:v>80</x:v>
      </x:c>
      <x:c r="L360" s="2" t="n">
        <x:f>G360*H360</x:f>
        <x:v>800</x:v>
      </x:c>
      <x:c r="M360" s="2" t="n">
        <x:f>ROUND(L360*(1-I360),2)</x:f>
        <x:v>760</x:v>
      </x:c>
      <x:c r="N360" s="2" t="n">
        <x:f>G360*J360</x:f>
        <x:v>420</x:v>
      </x:c>
      <x:c r="O360" s="2" t="n">
        <x:f>M360-N360-K360</x:f>
        <x:v>260</x:v>
      </x:c>
      <x:c r="P360" s="1" t="str">
        <x:f>TEXT(B360,"yyyy-mm")</x:f>
        <x:v>2025-06</x:v>
      </x:c>
    </x:row>
    <x:row r="361">
      <x:c r="A361" s="1" t="str">
        <x:v>ORD-0357</x:v>
      </x:c>
      <x:c r="B361" s="4" t="d">
        <x:v>2025-07-27T00:00:00.000Z</x:v>
      </x:c>
      <x:c r="C361" s="1" t="str">
        <x:v>C-073</x:v>
      </x:c>
      <x:c r="D361" s="1" t="str">
        <x:v>East</x:v>
      </x:c>
      <x:c r="E361" s="1" t="str">
        <x:v>Electronics</x:v>
      </x:c>
      <x:c r="F361" s="1" t="str">
        <x:v>Keyboard</x:v>
      </x:c>
      <x:c r="G361" s="1" t="n">
        <x:v>3</x:v>
      </x:c>
      <x:c r="H361" s="2" t="n">
        <x:v>1500</x:v>
      </x:c>
      <x:c r="I361" s="3" t="n">
        <x:v>0</x:v>
      </x:c>
      <x:c r="J361" s="2" t="n">
        <x:v>900</x:v>
      </x:c>
      <x:c r="K361" s="2" t="n">
        <x:v>80</x:v>
      </x:c>
      <x:c r="L361" s="2" t="n">
        <x:f>G361*H361</x:f>
        <x:v>4500</x:v>
      </x:c>
      <x:c r="M361" s="2" t="n">
        <x:f>ROUND(L361*(1-I361),2)</x:f>
        <x:v>4500</x:v>
      </x:c>
      <x:c r="N361" s="2" t="n">
        <x:f>G361*J361</x:f>
        <x:v>2700</x:v>
      </x:c>
      <x:c r="O361" s="2" t="n">
        <x:f>M361-N361-K361</x:f>
        <x:v>1720</x:v>
      </x:c>
      <x:c r="P361" s="1" t="str">
        <x:f>TEXT(B361,"yyyy-mm")</x:f>
        <x:v>2025-07</x:v>
      </x:c>
    </x:row>
    <x:row r="362">
      <x:c r="A362" s="1" t="str">
        <x:v>ORD-0358</x:v>
      </x:c>
      <x:c r="B362" s="4" t="d">
        <x:v>2025-07-16T00:00:00.000Z</x:v>
      </x:c>
      <x:c r="C362" s="1" t="str">
        <x:v>C-179</x:v>
      </x:c>
      <x:c r="D362" s="1" t="str">
        <x:v>West</x:v>
      </x:c>
      <x:c r="E362" s="1" t="str">
        <x:v>Fashion</x:v>
      </x:c>
      <x:c r="F362" s="1" t="str">
        <x:v>T-shirt</x:v>
      </x:c>
      <x:c r="G362" s="1" t="n">
        <x:v>1</x:v>
      </x:c>
      <x:c r="H362" s="2" t="n">
        <x:v>700</x:v>
      </x:c>
      <x:c r="I362" s="3" t="n">
        <x:v>0.25</x:v>
      </x:c>
      <x:c r="J362" s="2" t="n">
        <x:v>300</x:v>
      </x:c>
      <x:c r="K362" s="2" t="n">
        <x:v>80</x:v>
      </x:c>
      <x:c r="L362" s="2" t="n">
        <x:f>G362*H362</x:f>
        <x:v>700</x:v>
      </x:c>
      <x:c r="M362" s="2" t="n">
        <x:f>ROUND(L362*(1-I362),2)</x:f>
        <x:v>525</x:v>
      </x:c>
      <x:c r="N362" s="2" t="n">
        <x:f>G362*J362</x:f>
        <x:v>300</x:v>
      </x:c>
      <x:c r="O362" s="2" t="n">
        <x:f>M362-N362-K362</x:f>
        <x:v>145</x:v>
      </x:c>
      <x:c r="P362" s="1" t="str">
        <x:f>TEXT(B362,"yyyy-mm")</x:f>
        <x:v>2025-07</x:v>
      </x:c>
    </x:row>
    <x:row r="363">
      <x:c r="A363" s="1" t="str">
        <x:v>ORD-0359</x:v>
      </x:c>
      <x:c r="B363" s="4" t="d">
        <x:v>2025-10-03T00:00:00.000Z</x:v>
      </x:c>
      <x:c r="C363" s="1" t="str">
        <x:v>C-154</x:v>
      </x:c>
      <x:c r="D363" s="1" t="str">
        <x:v>North</x:v>
      </x:c>
      <x:c r="E363" s="1" t="str">
        <x:v>Home</x:v>
      </x:c>
      <x:c r="F363" s="1" t="str">
        <x:v>Desk lamp</x:v>
      </x:c>
      <x:c r="G363" s="1" t="n">
        <x:v>1</x:v>
      </x:c>
      <x:c r="H363" s="2" t="n">
        <x:v>1100</x:v>
      </x:c>
      <x:c r="I363" s="3" t="n">
        <x:v>0.1</x:v>
      </x:c>
      <x:c r="J363" s="2" t="n">
        <x:v>650</x:v>
      </x:c>
      <x:c r="K363" s="2" t="n">
        <x:v>50</x:v>
      </x:c>
      <x:c r="L363" s="2" t="n">
        <x:f>G363*H363</x:f>
        <x:v>1100</x:v>
      </x:c>
      <x:c r="M363" s="2" t="n">
        <x:f>ROUND(L363*(1-I363),2)</x:f>
        <x:v>990</x:v>
      </x:c>
      <x:c r="N363" s="2" t="n">
        <x:f>G363*J363</x:f>
        <x:v>650</x:v>
      </x:c>
      <x:c r="O363" s="2" t="n">
        <x:f>M363-N363-K363</x:f>
        <x:v>290</x:v>
      </x:c>
      <x:c r="P363" s="1" t="str">
        <x:f>TEXT(B363,"yyyy-mm")</x:f>
        <x:v>2025-10</x:v>
      </x:c>
    </x:row>
    <x:row r="364">
      <x:c r="A364" s="1" t="str">
        <x:v>ORD-0360</x:v>
      </x:c>
      <x:c r="B364" s="4" t="d">
        <x:v>2025-11-26T00:00:00.000Z</x:v>
      </x:c>
      <x:c r="C364" s="1" t="str">
        <x:v>C-085</x:v>
      </x:c>
      <x:c r="D364" s="1" t="str">
        <x:v>South</x:v>
      </x:c>
      <x:c r="E364" s="1" t="str">
        <x:v>Electronics</x:v>
      </x:c>
      <x:c r="F364" s="1" t="str">
        <x:v>Keyboard</x:v>
      </x:c>
      <x:c r="G364" s="1" t="n">
        <x:v>2</x:v>
      </x:c>
      <x:c r="H364" s="2" t="n">
        <x:v>1500</x:v>
      </x:c>
      <x:c r="I364" s="3" t="n">
        <x:v>0.35</x:v>
      </x:c>
      <x:c r="J364" s="2" t="n">
        <x:v>900</x:v>
      </x:c>
      <x:c r="K364" s="2" t="n">
        <x:v>120</x:v>
      </x:c>
      <x:c r="L364" s="2" t="n">
        <x:f>G364*H364</x:f>
        <x:v>3000</x:v>
      </x:c>
      <x:c r="M364" s="2" t="n">
        <x:f>ROUND(L364*(1-I364),2)</x:f>
        <x:v>1950</x:v>
      </x:c>
      <x:c r="N364" s="2" t="n">
        <x:f>G364*J364</x:f>
        <x:v>1800</x:v>
      </x:c>
      <x:c r="O364" s="2" t="n">
        <x:f>M364-N364-K364</x:f>
        <x:v>30</x:v>
      </x:c>
      <x:c r="P364" s="1" t="str">
        <x:f>TEXT(B364,"yyyy-mm")</x:f>
        <x:v>2025-11</x:v>
      </x:c>
    </x:row>
    <x:row r="365">
      <x:c r="A365" s="1" t="str">
        <x:v>ORD-0361</x:v>
      </x:c>
      <x:c r="B365" s="4" t="d">
        <x:v>2025-03-31T00:00:00.000Z</x:v>
      </x:c>
      <x:c r="C365" s="1" t="str">
        <x:v>C-237</x:v>
      </x:c>
      <x:c r="D365" s="1" t="str">
        <x:v>South</x:v>
      </x:c>
      <x:c r="E365" s="1" t="str">
        <x:v>Home</x:v>
      </x:c>
      <x:c r="F365" s="1" t="str">
        <x:v>Storage box</x:v>
      </x:c>
      <x:c r="G365" s="1" t="n">
        <x:v>4</x:v>
      </x:c>
      <x:c r="H365" s="2" t="n">
        <x:v>800</x:v>
      </x:c>
      <x:c r="I365" s="3" t="n">
        <x:v>0.15</x:v>
      </x:c>
      <x:c r="J365" s="2" t="n">
        <x:v>420</x:v>
      </x:c>
      <x:c r="K365" s="2" t="n">
        <x:v>120</x:v>
      </x:c>
      <x:c r="L365" s="2" t="n">
        <x:f>G365*H365</x:f>
        <x:v>3200</x:v>
      </x:c>
      <x:c r="M365" s="2" t="n">
        <x:f>ROUND(L365*(1-I365),2)</x:f>
        <x:v>2720</x:v>
      </x:c>
      <x:c r="N365" s="2" t="n">
        <x:f>G365*J365</x:f>
        <x:v>1680</x:v>
      </x:c>
      <x:c r="O365" s="2" t="n">
        <x:f>M365-N365-K365</x:f>
        <x:v>920</x:v>
      </x:c>
      <x:c r="P365" s="1" t="str">
        <x:f>TEXT(B365,"yyyy-mm")</x:f>
        <x:v>2025-03</x:v>
      </x:c>
    </x:row>
    <x:row r="366">
      <x:c r="A366" s="1" t="str">
        <x:v>ORD-0362</x:v>
      </x:c>
      <x:c r="B366" s="4" t="d">
        <x:v>2025-03-01T00:00:00.000Z</x:v>
      </x:c>
      <x:c r="C366" s="1" t="str">
        <x:v>C-102</x:v>
      </x:c>
      <x:c r="D366" s="1" t="str">
        <x:v>West</x:v>
      </x:c>
      <x:c r="E366" s="1" t="str">
        <x:v>Home</x:v>
      </x:c>
      <x:c r="F366" s="1" t="str">
        <x:v>Office chair</x:v>
      </x:c>
      <x:c r="G366" s="1" t="n">
        <x:v>4</x:v>
      </x:c>
      <x:c r="H366" s="2" t="n">
        <x:v>5500</x:v>
      </x:c>
      <x:c r="I366" s="3" t="n">
        <x:v>0.15</x:v>
      </x:c>
      <x:c r="J366" s="2" t="n">
        <x:v>4400</x:v>
      </x:c>
      <x:c r="K366" s="2" t="n">
        <x:v>80</x:v>
      </x:c>
      <x:c r="L366" s="2" t="n">
        <x:f>G366*H366</x:f>
        <x:v>22000</x:v>
      </x:c>
      <x:c r="M366" s="2" t="n">
        <x:f>ROUND(L366*(1-I366),2)</x:f>
        <x:v>18700</x:v>
      </x:c>
      <x:c r="N366" s="2" t="n">
        <x:f>G366*J366</x:f>
        <x:v>17600</x:v>
      </x:c>
      <x:c r="O366" s="2" t="n">
        <x:f>M366-N366-K366</x:f>
        <x:v>1020</x:v>
      </x:c>
      <x:c r="P366" s="1" t="str">
        <x:f>TEXT(B366,"yyyy-mm")</x:f>
        <x:v>2025-03</x:v>
      </x:c>
    </x:row>
    <x:row r="367">
      <x:c r="A367" s="1" t="str">
        <x:v>ORD-0363</x:v>
      </x:c>
      <x:c r="B367" s="4" t="d">
        <x:v>2025-01-09T00:00:00.000Z</x:v>
      </x:c>
      <x:c r="C367" s="1" t="str">
        <x:v>C-033</x:v>
      </x:c>
      <x:c r="D367" s="1" t="str">
        <x:v>North</x:v>
      </x:c>
      <x:c r="E367" s="1" t="str">
        <x:v>Fashion</x:v>
      </x:c>
      <x:c r="F367" s="1" t="str">
        <x:v>T-shirt</x:v>
      </x:c>
      <x:c r="G367" s="1" t="n">
        <x:v>2</x:v>
      </x:c>
      <x:c r="H367" s="2" t="n">
        <x:v>700</x:v>
      </x:c>
      <x:c r="I367" s="3" t="n">
        <x:v>0.05</x:v>
      </x:c>
      <x:c r="J367" s="2" t="n">
        <x:v>300</x:v>
      </x:c>
      <x:c r="K367" s="2" t="n">
        <x:v>80</x:v>
      </x:c>
      <x:c r="L367" s="2" t="n">
        <x:f>G367*H367</x:f>
        <x:v>1400</x:v>
      </x:c>
      <x:c r="M367" s="2" t="n">
        <x:f>ROUND(L367*(1-I367),2)</x:f>
        <x:v>1330</x:v>
      </x:c>
      <x:c r="N367" s="2" t="n">
        <x:f>G367*J367</x:f>
        <x:v>600</x:v>
      </x:c>
      <x:c r="O367" s="2" t="n">
        <x:f>M367-N367-K367</x:f>
        <x:v>650</x:v>
      </x:c>
      <x:c r="P367" s="1" t="str">
        <x:f>TEXT(B367,"yyyy-mm")</x:f>
        <x:v>2025-01</x:v>
      </x:c>
    </x:row>
    <x:row r="368">
      <x:c r="A368" s="1" t="str">
        <x:v>ORD-0364</x:v>
      </x:c>
      <x:c r="B368" s="4" t="d">
        <x:v>2025-05-09T00:00:00.000Z</x:v>
      </x:c>
      <x:c r="C368" s="1" t="str">
        <x:v>C-251</x:v>
      </x:c>
      <x:c r="D368" s="1" t="str">
        <x:v>East</x:v>
      </x:c>
      <x:c r="E368" s="1" t="str">
        <x:v>Home</x:v>
      </x:c>
      <x:c r="F368" s="1" t="str">
        <x:v>Desk lamp</x:v>
      </x:c>
      <x:c r="G368" s="1" t="n">
        <x:v>4</x:v>
      </x:c>
      <x:c r="H368" s="2" t="n">
        <x:v>1100</x:v>
      </x:c>
      <x:c r="I368" s="3" t="n">
        <x:v>0</x:v>
      </x:c>
      <x:c r="J368" s="2" t="n">
        <x:v>650</x:v>
      </x:c>
      <x:c r="K368" s="2" t="n">
        <x:v>120</x:v>
      </x:c>
      <x:c r="L368" s="2" t="n">
        <x:f>G368*H368</x:f>
        <x:v>4400</x:v>
      </x:c>
      <x:c r="M368" s="2" t="n">
        <x:f>ROUND(L368*(1-I368),2)</x:f>
        <x:v>4400</x:v>
      </x:c>
      <x:c r="N368" s="2" t="n">
        <x:f>G368*J368</x:f>
        <x:v>2600</x:v>
      </x:c>
      <x:c r="O368" s="2" t="n">
        <x:f>M368-N368-K368</x:f>
        <x:v>1680</x:v>
      </x:c>
      <x:c r="P368" s="1" t="str">
        <x:f>TEXT(B368,"yyyy-mm")</x:f>
        <x:v>2025-05</x:v>
      </x:c>
    </x:row>
    <x:row r="369">
      <x:c r="A369" s="1" t="str">
        <x:v>ORD-0365</x:v>
      </x:c>
      <x:c r="B369" s="4" t="d">
        <x:v>2025-06-12T00:00:00.000Z</x:v>
      </x:c>
      <x:c r="C369" s="1" t="str">
        <x:v>C-235</x:v>
      </x:c>
      <x:c r="D369" s="1" t="str">
        <x:v>South</x:v>
      </x:c>
      <x:c r="E369" s="1" t="str">
        <x:v>Electronics</x:v>
      </x:c>
      <x:c r="F369" s="1" t="str">
        <x:v>Keyboard</x:v>
      </x:c>
      <x:c r="G369" s="1" t="n">
        <x:v>3</x:v>
      </x:c>
      <x:c r="H369" s="2" t="n">
        <x:v>1500</x:v>
      </x:c>
      <x:c r="I369" s="3" t="n">
        <x:v>0.1</x:v>
      </x:c>
      <x:c r="J369" s="2" t="n">
        <x:v>900</x:v>
      </x:c>
      <x:c r="K369" s="2" t="n">
        <x:v>120</x:v>
      </x:c>
      <x:c r="L369" s="2" t="n">
        <x:f>G369*H369</x:f>
        <x:v>4500</x:v>
      </x:c>
      <x:c r="M369" s="2" t="n">
        <x:f>ROUND(L369*(1-I369),2)</x:f>
        <x:v>4050</x:v>
      </x:c>
      <x:c r="N369" s="2" t="n">
        <x:f>G369*J369</x:f>
        <x:v>2700</x:v>
      </x:c>
      <x:c r="O369" s="2" t="n">
        <x:f>M369-N369-K369</x:f>
        <x:v>1230</x:v>
      </x:c>
      <x:c r="P369" s="1" t="str">
        <x:f>TEXT(B369,"yyyy-mm")</x:f>
        <x:v>2025-06</x:v>
      </x:c>
    </x:row>
    <x:row r="370">
      <x:c r="A370" s="1" t="str">
        <x:v>ORD-0366</x:v>
      </x:c>
      <x:c r="B370" s="4" t="d">
        <x:v>2025-09-04T00:00:00.000Z</x:v>
      </x:c>
      <x:c r="C370" s="1" t="str">
        <x:v>C-123</x:v>
      </x:c>
      <x:c r="D370" s="1" t="str">
        <x:v>East</x:v>
      </x:c>
      <x:c r="E370" s="1" t="str">
        <x:v>Electronics</x:v>
      </x:c>
      <x:c r="F370" s="1" t="str">
        <x:v>Smartwatch</x:v>
      </x:c>
      <x:c r="G370" s="1" t="n">
        <x:v>1</x:v>
      </x:c>
      <x:c r="H370" s="2" t="n">
        <x:v>4200</x:v>
      </x:c>
      <x:c r="I370" s="3" t="n">
        <x:v>0.1</x:v>
      </x:c>
      <x:c r="J370" s="2" t="n">
        <x:v>3000</x:v>
      </x:c>
      <x:c r="K370" s="2" t="n">
        <x:v>50</x:v>
      </x:c>
      <x:c r="L370" s="2" t="n">
        <x:f>G370*H370</x:f>
        <x:v>4200</x:v>
      </x:c>
      <x:c r="M370" s="2" t="n">
        <x:f>ROUND(L370*(1-I370),2)</x:f>
        <x:v>3780</x:v>
      </x:c>
      <x:c r="N370" s="2" t="n">
        <x:f>G370*J370</x:f>
        <x:v>3000</x:v>
      </x:c>
      <x:c r="O370" s="2" t="n">
        <x:f>M370-N370-K370</x:f>
        <x:v>730</x:v>
      </x:c>
      <x:c r="P370" s="1" t="str">
        <x:f>TEXT(B370,"yyyy-mm")</x:f>
        <x:v>2025-09</x:v>
      </x:c>
    </x:row>
    <x:row r="371">
      <x:c r="A371" s="1" t="str">
        <x:v>ORD-0367</x:v>
      </x:c>
      <x:c r="B371" s="4" t="d">
        <x:v>2025-06-13T00:00:00.000Z</x:v>
      </x:c>
      <x:c r="C371" s="1" t="str">
        <x:v>C-215</x:v>
      </x:c>
      <x:c r="D371" s="1" t="str">
        <x:v>South</x:v>
      </x:c>
      <x:c r="E371" s="1" t="str">
        <x:v>Electronics</x:v>
      </x:c>
      <x:c r="F371" s="1" t="str">
        <x:v>Smartwatch</x:v>
      </x:c>
      <x:c r="G371" s="1" t="n">
        <x:v>4</x:v>
      </x:c>
      <x:c r="H371" s="2" t="n">
        <x:v>4200</x:v>
      </x:c>
      <x:c r="I371" s="3" t="n">
        <x:v>0.25</x:v>
      </x:c>
      <x:c r="J371" s="2" t="n">
        <x:v>3000</x:v>
      </x:c>
      <x:c r="K371" s="2" t="n">
        <x:v>80</x:v>
      </x:c>
      <x:c r="L371" s="2" t="n">
        <x:f>G371*H371</x:f>
        <x:v>16800</x:v>
      </x:c>
      <x:c r="M371" s="2" t="n">
        <x:f>ROUND(L371*(1-I371),2)</x:f>
        <x:v>12600</x:v>
      </x:c>
      <x:c r="N371" s="2" t="n">
        <x:f>G371*J371</x:f>
        <x:v>12000</x:v>
      </x:c>
      <x:c r="O371" s="2" t="n">
        <x:f>M371-N371-K371</x:f>
        <x:v>520</x:v>
      </x:c>
      <x:c r="P371" s="1" t="str">
        <x:f>TEXT(B371,"yyyy-mm")</x:f>
        <x:v>2025-06</x:v>
      </x:c>
    </x:row>
    <x:row r="372">
      <x:c r="A372" s="1" t="str">
        <x:v>ORD-0368</x:v>
      </x:c>
      <x:c r="B372" s="4" t="d">
        <x:v>2025-03-30T00:00:00.000Z</x:v>
      </x:c>
      <x:c r="C372" s="1" t="str">
        <x:v>C-089</x:v>
      </x:c>
      <x:c r="D372" s="1" t="str">
        <x:v>South</x:v>
      </x:c>
      <x:c r="E372" s="1" t="str">
        <x:v>Home</x:v>
      </x:c>
      <x:c r="F372" s="1" t="str">
        <x:v>Storage box</x:v>
      </x:c>
      <x:c r="G372" s="1" t="n">
        <x:v>4</x:v>
      </x:c>
      <x:c r="H372" s="2" t="n">
        <x:v>800</x:v>
      </x:c>
      <x:c r="I372" s="3" t="n">
        <x:v>0.35</x:v>
      </x:c>
      <x:c r="J372" s="2" t="n">
        <x:v>420</x:v>
      </x:c>
      <x:c r="K372" s="2" t="n">
        <x:v>80</x:v>
      </x:c>
      <x:c r="L372" s="2" t="n">
        <x:f>G372*H372</x:f>
        <x:v>3200</x:v>
      </x:c>
      <x:c r="M372" s="2" t="n">
        <x:f>ROUND(L372*(1-I372),2)</x:f>
        <x:v>2080</x:v>
      </x:c>
      <x:c r="N372" s="2" t="n">
        <x:f>G372*J372</x:f>
        <x:v>1680</x:v>
      </x:c>
      <x:c r="O372" s="2" t="n">
        <x:f>M372-N372-K372</x:f>
        <x:v>320</x:v>
      </x:c>
      <x:c r="P372" s="1" t="str">
        <x:f>TEXT(B372,"yyyy-mm")</x:f>
        <x:v>2025-03</x:v>
      </x:c>
    </x:row>
    <x:row r="373">
      <x:c r="A373" s="1" t="str">
        <x:v>ORD-0369</x:v>
      </x:c>
      <x:c r="B373" s="4" t="d">
        <x:v>2025-03-20T00:00:00.000Z</x:v>
      </x:c>
      <x:c r="C373" s="1" t="str">
        <x:v>C-028</x:v>
      </x:c>
      <x:c r="D373" s="1" t="str">
        <x:v>East</x:v>
      </x:c>
      <x:c r="E373" s="1" t="str">
        <x:v>Fashion</x:v>
      </x:c>
      <x:c r="F373" s="1" t="str">
        <x:v>Backpack</x:v>
      </x:c>
      <x:c r="G373" s="1" t="n">
        <x:v>1</x:v>
      </x:c>
      <x:c r="H373" s="2" t="n">
        <x:v>1300</x:v>
      </x:c>
      <x:c r="I373" s="3" t="n">
        <x:v>0.15</x:v>
      </x:c>
      <x:c r="J373" s="2" t="n">
        <x:v>650</x:v>
      </x:c>
      <x:c r="K373" s="2" t="n">
        <x:v>80</x:v>
      </x:c>
      <x:c r="L373" s="2" t="n">
        <x:f>G373*H373</x:f>
        <x:v>1300</x:v>
      </x:c>
      <x:c r="M373" s="2" t="n">
        <x:f>ROUND(L373*(1-I373),2)</x:f>
        <x:v>1105</x:v>
      </x:c>
      <x:c r="N373" s="2" t="n">
        <x:f>G373*J373</x:f>
        <x:v>650</x:v>
      </x:c>
      <x:c r="O373" s="2" t="n">
        <x:f>M373-N373-K373</x:f>
        <x:v>375</x:v>
      </x:c>
      <x:c r="P373" s="1" t="str">
        <x:f>TEXT(B373,"yyyy-mm")</x:f>
        <x:v>2025-03</x:v>
      </x:c>
    </x:row>
    <x:row r="374">
      <x:c r="A374" s="1" t="str">
        <x:v>ORD-0370</x:v>
      </x:c>
      <x:c r="B374" s="4" t="d">
        <x:v>2025-03-17T00:00:00.000Z</x:v>
      </x:c>
      <x:c r="C374" s="1" t="str">
        <x:v>C-254</x:v>
      </x:c>
      <x:c r="D374" s="1" t="str">
        <x:v>West</x:v>
      </x:c>
      <x:c r="E374" s="1" t="str">
        <x:v>Home</x:v>
      </x:c>
      <x:c r="F374" s="1" t="str">
        <x:v>Office chair</x:v>
      </x:c>
      <x:c r="G374" s="1" t="n">
        <x:v>4</x:v>
      </x:c>
      <x:c r="H374" s="2" t="n">
        <x:v>5500</x:v>
      </x:c>
      <x:c r="I374" s="3" t="n">
        <x:v>0.25</x:v>
      </x:c>
      <x:c r="J374" s="2" t="n">
        <x:v>4400</x:v>
      </x:c>
      <x:c r="K374" s="2" t="n">
        <x:v>80</x:v>
      </x:c>
      <x:c r="L374" s="2" t="n">
        <x:f>G374*H374</x:f>
        <x:v>22000</x:v>
      </x:c>
      <x:c r="M374" s="2" t="n">
        <x:f>ROUND(L374*(1-I374),2)</x:f>
        <x:v>16500</x:v>
      </x:c>
      <x:c r="N374" s="2" t="n">
        <x:f>G374*J374</x:f>
        <x:v>17600</x:v>
      </x:c>
      <x:c r="O374" s="2" t="n">
        <x:f>M374-N374-K374</x:f>
        <x:v>-1180</x:v>
      </x:c>
      <x:c r="P374" s="1" t="str">
        <x:f>TEXT(B374,"yyyy-mm")</x:f>
        <x:v>2025-03</x:v>
      </x:c>
    </x:row>
    <x:row r="375">
      <x:c r="A375" s="1" t="str">
        <x:v>ORD-0371</x:v>
      </x:c>
      <x:c r="B375" s="4" t="d">
        <x:v>2025-10-06T00:00:00.000Z</x:v>
      </x:c>
      <x:c r="C375" s="1" t="str">
        <x:v>C-043</x:v>
      </x:c>
      <x:c r="D375" s="1" t="str">
        <x:v>North</x:v>
      </x:c>
      <x:c r="E375" s="1" t="str">
        <x:v>Home</x:v>
      </x:c>
      <x:c r="F375" s="1" t="str">
        <x:v>Desk lamp</x:v>
      </x:c>
      <x:c r="G375" s="1" t="n">
        <x:v>2</x:v>
      </x:c>
      <x:c r="H375" s="2" t="n">
        <x:v>1100</x:v>
      </x:c>
      <x:c r="I375" s="3" t="n">
        <x:v>0.15</x:v>
      </x:c>
      <x:c r="J375" s="2" t="n">
        <x:v>650</x:v>
      </x:c>
      <x:c r="K375" s="2" t="n">
        <x:v>80</x:v>
      </x:c>
      <x:c r="L375" s="2" t="n">
        <x:f>G375*H375</x:f>
        <x:v>2200</x:v>
      </x:c>
      <x:c r="M375" s="2" t="n">
        <x:f>ROUND(L375*(1-I375),2)</x:f>
        <x:v>1870</x:v>
      </x:c>
      <x:c r="N375" s="2" t="n">
        <x:f>G375*J375</x:f>
        <x:v>1300</x:v>
      </x:c>
      <x:c r="O375" s="2" t="n">
        <x:f>M375-N375-K375</x:f>
        <x:v>490</x:v>
      </x:c>
      <x:c r="P375" s="1" t="str">
        <x:f>TEXT(B375,"yyyy-mm")</x:f>
        <x:v>2025-10</x:v>
      </x:c>
    </x:row>
    <x:row r="376">
      <x:c r="A376" s="1" t="str">
        <x:v>ORD-0372</x:v>
      </x:c>
      <x:c r="B376" s="4" t="d">
        <x:v>2025-01-10T00:00:00.000Z</x:v>
      </x:c>
      <x:c r="C376" s="1" t="str">
        <x:v>C-087</x:v>
      </x:c>
      <x:c r="D376" s="1" t="str">
        <x:v>West</x:v>
      </x:c>
      <x:c r="E376" s="1" t="str">
        <x:v>Fashion</x:v>
      </x:c>
      <x:c r="F376" s="1" t="str">
        <x:v>T-shirt</x:v>
      </x:c>
      <x:c r="G376" s="1" t="n">
        <x:v>4</x:v>
      </x:c>
      <x:c r="H376" s="2" t="n">
        <x:v>700</x:v>
      </x:c>
      <x:c r="I376" s="3" t="n">
        <x:v>0.25</x:v>
      </x:c>
      <x:c r="J376" s="2" t="n">
        <x:v>300</x:v>
      </x:c>
      <x:c r="K376" s="2" t="n">
        <x:v>120</x:v>
      </x:c>
      <x:c r="L376" s="2" t="n">
        <x:f>G376*H376</x:f>
        <x:v>2800</x:v>
      </x:c>
      <x:c r="M376" s="2" t="n">
        <x:f>ROUND(L376*(1-I376),2)</x:f>
        <x:v>2100</x:v>
      </x:c>
      <x:c r="N376" s="2" t="n">
        <x:f>G376*J376</x:f>
        <x:v>1200</x:v>
      </x:c>
      <x:c r="O376" s="2" t="n">
        <x:f>M376-N376-K376</x:f>
        <x:v>780</x:v>
      </x:c>
      <x:c r="P376" s="1" t="str">
        <x:f>TEXT(B376,"yyyy-mm")</x:f>
        <x:v>2025-01</x:v>
      </x:c>
    </x:row>
    <x:row r="377">
      <x:c r="A377" s="1" t="str">
        <x:v>ORD-0373</x:v>
      </x:c>
      <x:c r="B377" s="4" t="d">
        <x:v>2025-08-25T00:00:00.000Z</x:v>
      </x:c>
      <x:c r="C377" s="1" t="str">
        <x:v>C-279</x:v>
      </x:c>
      <x:c r="D377" s="1" t="str">
        <x:v>East</x:v>
      </x:c>
      <x:c r="E377" s="1" t="str">
        <x:v>Electronics</x:v>
      </x:c>
      <x:c r="F377" s="1" t="str">
        <x:v>Keyboard</x:v>
      </x:c>
      <x:c r="G377" s="1" t="n">
        <x:v>1</x:v>
      </x:c>
      <x:c r="H377" s="2" t="n">
        <x:v>1500</x:v>
      </x:c>
      <x:c r="I377" s="3" t="n">
        <x:v>0.1</x:v>
      </x:c>
      <x:c r="J377" s="2" t="n">
        <x:v>900</x:v>
      </x:c>
      <x:c r="K377" s="2" t="n">
        <x:v>120</x:v>
      </x:c>
      <x:c r="L377" s="2" t="n">
        <x:f>G377*H377</x:f>
        <x:v>1500</x:v>
      </x:c>
      <x:c r="M377" s="2" t="n">
        <x:f>ROUND(L377*(1-I377),2)</x:f>
        <x:v>1350</x:v>
      </x:c>
      <x:c r="N377" s="2" t="n">
        <x:f>G377*J377</x:f>
        <x:v>900</x:v>
      </x:c>
      <x:c r="O377" s="2" t="n">
        <x:f>M377-N377-K377</x:f>
        <x:v>330</x:v>
      </x:c>
      <x:c r="P377" s="1" t="str">
        <x:f>TEXT(B377,"yyyy-mm")</x:f>
        <x:v>2025-08</x:v>
      </x:c>
    </x:row>
    <x:row r="378">
      <x:c r="A378" s="1" t="str">
        <x:v>ORD-0374</x:v>
      </x:c>
      <x:c r="B378" s="4" t="d">
        <x:v>2025-07-04T00:00:00.000Z</x:v>
      </x:c>
      <x:c r="C378" s="1" t="str">
        <x:v>C-127</x:v>
      </x:c>
      <x:c r="D378" s="1" t="str">
        <x:v>East</x:v>
      </x:c>
      <x:c r="E378" s="1" t="str">
        <x:v>Fashion</x:v>
      </x:c>
      <x:c r="F378" s="1" t="str">
        <x:v>T-shirt</x:v>
      </x:c>
      <x:c r="G378" s="1" t="n">
        <x:v>1</x:v>
      </x:c>
      <x:c r="H378" s="2" t="n">
        <x:v>700</x:v>
      </x:c>
      <x:c r="I378" s="3" t="n">
        <x:v>0.15</x:v>
      </x:c>
      <x:c r="J378" s="2" t="n">
        <x:v>300</x:v>
      </x:c>
      <x:c r="K378" s="2" t="n">
        <x:v>80</x:v>
      </x:c>
      <x:c r="L378" s="2" t="n">
        <x:f>G378*H378</x:f>
        <x:v>700</x:v>
      </x:c>
      <x:c r="M378" s="2" t="n">
        <x:f>ROUND(L378*(1-I378),2)</x:f>
        <x:v>595</x:v>
      </x:c>
      <x:c r="N378" s="2" t="n">
        <x:f>G378*J378</x:f>
        <x:v>300</x:v>
      </x:c>
      <x:c r="O378" s="2" t="n">
        <x:f>M378-N378-K378</x:f>
        <x:v>215</x:v>
      </x:c>
      <x:c r="P378" s="1" t="str">
        <x:f>TEXT(B378,"yyyy-mm")</x:f>
        <x:v>2025-07</x:v>
      </x:c>
    </x:row>
    <x:row r="379">
      <x:c r="A379" s="1" t="str">
        <x:v>ORD-0375</x:v>
      </x:c>
      <x:c r="B379" s="4" t="d">
        <x:v>2025-04-28T00:00:00.000Z</x:v>
      </x:c>
      <x:c r="C379" s="1" t="str">
        <x:v>C-061</x:v>
      </x:c>
      <x:c r="D379" s="1" t="str">
        <x:v>South</x:v>
      </x:c>
      <x:c r="E379" s="1" t="str">
        <x:v>Electronics</x:v>
      </x:c>
      <x:c r="F379" s="1" t="str">
        <x:v>Keyboard</x:v>
      </x:c>
      <x:c r="G379" s="1" t="n">
        <x:v>2</x:v>
      </x:c>
      <x:c r="H379" s="2" t="n">
        <x:v>1500</x:v>
      </x:c>
      <x:c r="I379" s="3" t="n">
        <x:v>0.15</x:v>
      </x:c>
      <x:c r="J379" s="2" t="n">
        <x:v>900</x:v>
      </x:c>
      <x:c r="K379" s="2" t="n">
        <x:v>120</x:v>
      </x:c>
      <x:c r="L379" s="2" t="n">
        <x:f>G379*H379</x:f>
        <x:v>3000</x:v>
      </x:c>
      <x:c r="M379" s="2" t="n">
        <x:f>ROUND(L379*(1-I379),2)</x:f>
        <x:v>2550</x:v>
      </x:c>
      <x:c r="N379" s="2" t="n">
        <x:f>G379*J379</x:f>
        <x:v>1800</x:v>
      </x:c>
      <x:c r="O379" s="2" t="n">
        <x:f>M379-N379-K379</x:f>
        <x:v>630</x:v>
      </x:c>
      <x:c r="P379" s="1" t="str">
        <x:f>TEXT(B379,"yyyy-mm")</x:f>
        <x:v>2025-04</x:v>
      </x:c>
    </x:row>
    <x:row r="380">
      <x:c r="A380" s="1" t="str">
        <x:v>ORD-0376</x:v>
      </x:c>
      <x:c r="B380" s="4" t="d">
        <x:v>2025-09-20T00:00:00.000Z</x:v>
      </x:c>
      <x:c r="C380" s="1" t="str">
        <x:v>C-220</x:v>
      </x:c>
      <x:c r="D380" s="1" t="str">
        <x:v>South</x:v>
      </x:c>
      <x:c r="E380" s="1" t="str">
        <x:v>Fashion</x:v>
      </x:c>
      <x:c r="F380" s="1" t="str">
        <x:v>Backpack</x:v>
      </x:c>
      <x:c r="G380" s="1" t="n">
        <x:v>2</x:v>
      </x:c>
      <x:c r="H380" s="2" t="n">
        <x:v>1300</x:v>
      </x:c>
      <x:c r="I380" s="3" t="n">
        <x:v>0.35</x:v>
      </x:c>
      <x:c r="J380" s="2" t="n">
        <x:v>650</x:v>
      </x:c>
      <x:c r="K380" s="2" t="n">
        <x:v>50</x:v>
      </x:c>
      <x:c r="L380" s="2" t="n">
        <x:f>G380*H380</x:f>
        <x:v>2600</x:v>
      </x:c>
      <x:c r="M380" s="2" t="n">
        <x:f>ROUND(L380*(1-I380),2)</x:f>
        <x:v>1690</x:v>
      </x:c>
      <x:c r="N380" s="2" t="n">
        <x:f>G380*J380</x:f>
        <x:v>1300</x:v>
      </x:c>
      <x:c r="O380" s="2" t="n">
        <x:f>M380-N380-K380</x:f>
        <x:v>340</x:v>
      </x:c>
      <x:c r="P380" s="1" t="str">
        <x:f>TEXT(B380,"yyyy-mm")</x:f>
        <x:v>2025-09</x:v>
      </x:c>
    </x:row>
    <x:row r="381">
      <x:c r="A381" s="1" t="str">
        <x:v>ORD-0377</x:v>
      </x:c>
      <x:c r="B381" s="4" t="d">
        <x:v>2025-11-12T00:00:00.000Z</x:v>
      </x:c>
      <x:c r="C381" s="1" t="str">
        <x:v>C-273</x:v>
      </x:c>
      <x:c r="D381" s="1" t="str">
        <x:v>East</x:v>
      </x:c>
      <x:c r="E381" s="1" t="str">
        <x:v>Electronics</x:v>
      </x:c>
      <x:c r="F381" s="1" t="str">
        <x:v>Headphones</x:v>
      </x:c>
      <x:c r="G381" s="1" t="n">
        <x:v>2</x:v>
      </x:c>
      <x:c r="H381" s="2" t="n">
        <x:v>2200</x:v>
      </x:c>
      <x:c r="I381" s="3" t="n">
        <x:v>0.25</x:v>
      </x:c>
      <x:c r="J381" s="2" t="n">
        <x:v>1450</x:v>
      </x:c>
      <x:c r="K381" s="2" t="n">
        <x:v>80</x:v>
      </x:c>
      <x:c r="L381" s="2" t="n">
        <x:f>G381*H381</x:f>
        <x:v>4400</x:v>
      </x:c>
      <x:c r="M381" s="2" t="n">
        <x:f>ROUND(L381*(1-I381),2)</x:f>
        <x:v>3300</x:v>
      </x:c>
      <x:c r="N381" s="2" t="n">
        <x:f>G381*J381</x:f>
        <x:v>2900</x:v>
      </x:c>
      <x:c r="O381" s="2" t="n">
        <x:f>M381-N381-K381</x:f>
        <x:v>320</x:v>
      </x:c>
      <x:c r="P381" s="1" t="str">
        <x:f>TEXT(B381,"yyyy-mm")</x:f>
        <x:v>2025-11</x:v>
      </x:c>
    </x:row>
    <x:row r="382">
      <x:c r="A382" s="1" t="str">
        <x:v>ORD-0378</x:v>
      </x:c>
      <x:c r="B382" s="4" t="d">
        <x:v>2025-12-19T00:00:00.000Z</x:v>
      </x:c>
      <x:c r="C382" s="1" t="str">
        <x:v>C-137</x:v>
      </x:c>
      <x:c r="D382" s="1" t="str">
        <x:v>North</x:v>
      </x:c>
      <x:c r="E382" s="1" t="str">
        <x:v>Fashion</x:v>
      </x:c>
      <x:c r="F382" s="1" t="str">
        <x:v>Sneakers</x:v>
      </x:c>
      <x:c r="G382" s="1" t="n">
        <x:v>2</x:v>
      </x:c>
      <x:c r="H382" s="2" t="n">
        <x:v>2400</x:v>
      </x:c>
      <x:c r="I382" s="3" t="n">
        <x:v>0.1</x:v>
      </x:c>
      <x:c r="J382" s="2" t="n">
        <x:v>1200</x:v>
      </x:c>
      <x:c r="K382" s="2" t="n">
        <x:v>80</x:v>
      </x:c>
      <x:c r="L382" s="2" t="n">
        <x:f>G382*H382</x:f>
        <x:v>4800</x:v>
      </x:c>
      <x:c r="M382" s="2" t="n">
        <x:f>ROUND(L382*(1-I382),2)</x:f>
        <x:v>4320</x:v>
      </x:c>
      <x:c r="N382" s="2" t="n">
        <x:f>G382*J382</x:f>
        <x:v>2400</x:v>
      </x:c>
      <x:c r="O382" s="2" t="n">
        <x:f>M382-N382-K382</x:f>
        <x:v>1840</x:v>
      </x:c>
      <x:c r="P382" s="1" t="str">
        <x:f>TEXT(B382,"yyyy-mm")</x:f>
        <x:v>2025-12</x:v>
      </x:c>
    </x:row>
    <x:row r="383">
      <x:c r="A383" s="1" t="str">
        <x:v>ORD-0379</x:v>
      </x:c>
      <x:c r="B383" s="4" t="d">
        <x:v>2025-12-05T00:00:00.000Z</x:v>
      </x:c>
      <x:c r="C383" s="1" t="str">
        <x:v>C-068</x:v>
      </x:c>
      <x:c r="D383" s="1" t="str">
        <x:v>South</x:v>
      </x:c>
      <x:c r="E383" s="1" t="str">
        <x:v>Fashion</x:v>
      </x:c>
      <x:c r="F383" s="1" t="str">
        <x:v>Sneakers</x:v>
      </x:c>
      <x:c r="G383" s="1" t="n">
        <x:v>2</x:v>
      </x:c>
      <x:c r="H383" s="2" t="n">
        <x:v>2400</x:v>
      </x:c>
      <x:c r="I383" s="3" t="n">
        <x:v>0.35</x:v>
      </x:c>
      <x:c r="J383" s="2" t="n">
        <x:v>1200</x:v>
      </x:c>
      <x:c r="K383" s="2" t="n">
        <x:v>120</x:v>
      </x:c>
      <x:c r="L383" s="2" t="n">
        <x:f>G383*H383</x:f>
        <x:v>4800</x:v>
      </x:c>
      <x:c r="M383" s="2" t="n">
        <x:f>ROUND(L383*(1-I383),2)</x:f>
        <x:v>3120</x:v>
      </x:c>
      <x:c r="N383" s="2" t="n">
        <x:f>G383*J383</x:f>
        <x:v>2400</x:v>
      </x:c>
      <x:c r="O383" s="2" t="n">
        <x:f>M383-N383-K383</x:f>
        <x:v>600</x:v>
      </x:c>
      <x:c r="P383" s="1" t="str">
        <x:f>TEXT(B383,"yyyy-mm")</x:f>
        <x:v>2025-12</x:v>
      </x:c>
    </x:row>
    <x:row r="384">
      <x:c r="A384" s="1" t="str">
        <x:v>ORD-0380</x:v>
      </x:c>
      <x:c r="B384" s="4" t="d">
        <x:v>2025-05-13T00:00:00.000Z</x:v>
      </x:c>
      <x:c r="C384" s="1" t="str">
        <x:v>C-251</x:v>
      </x:c>
      <x:c r="D384" s="1" t="str">
        <x:v>South</x:v>
      </x:c>
      <x:c r="E384" s="1" t="str">
        <x:v>Fashion</x:v>
      </x:c>
      <x:c r="F384" s="1" t="str">
        <x:v>T-shirt</x:v>
      </x:c>
      <x:c r="G384" s="1" t="n">
        <x:v>3</x:v>
      </x:c>
      <x:c r="H384" s="2" t="n">
        <x:v>700</x:v>
      </x:c>
      <x:c r="I384" s="3" t="n">
        <x:v>0.35</x:v>
      </x:c>
      <x:c r="J384" s="2" t="n">
        <x:v>300</x:v>
      </x:c>
      <x:c r="K384" s="2" t="n">
        <x:v>120</x:v>
      </x:c>
      <x:c r="L384" s="2" t="n">
        <x:f>G384*H384</x:f>
        <x:v>2100</x:v>
      </x:c>
      <x:c r="M384" s="2" t="n">
        <x:f>ROUND(L384*(1-I384),2)</x:f>
        <x:v>1365</x:v>
      </x:c>
      <x:c r="N384" s="2" t="n">
        <x:f>G384*J384</x:f>
        <x:v>900</x:v>
      </x:c>
      <x:c r="O384" s="2" t="n">
        <x:f>M384-N384-K384</x:f>
        <x:v>345</x:v>
      </x:c>
      <x:c r="P384" s="1" t="str">
        <x:f>TEXT(B384,"yyyy-mm")</x:f>
        <x:v>2025-05</x:v>
      </x:c>
    </x:row>
    <x:row r="385">
      <x:c r="A385" s="1" t="str">
        <x:v>ORD-0381</x:v>
      </x:c>
      <x:c r="B385" s="4" t="d">
        <x:v>2025-07-21T00:00:00.000Z</x:v>
      </x:c>
      <x:c r="C385" s="1" t="str">
        <x:v>C-048</x:v>
      </x:c>
      <x:c r="D385" s="1" t="str">
        <x:v>West</x:v>
      </x:c>
      <x:c r="E385" s="1" t="str">
        <x:v>Home</x:v>
      </x:c>
      <x:c r="F385" s="1" t="str">
        <x:v>Desk lamp</x:v>
      </x:c>
      <x:c r="G385" s="1" t="n">
        <x:v>3</x:v>
      </x:c>
      <x:c r="H385" s="2" t="n">
        <x:v>1100</x:v>
      </x:c>
      <x:c r="I385" s="3" t="n">
        <x:v>0</x:v>
      </x:c>
      <x:c r="J385" s="2" t="n">
        <x:v>650</x:v>
      </x:c>
      <x:c r="K385" s="2" t="n">
        <x:v>120</x:v>
      </x:c>
      <x:c r="L385" s="2" t="n">
        <x:f>G385*H385</x:f>
        <x:v>3300</x:v>
      </x:c>
      <x:c r="M385" s="2" t="n">
        <x:f>ROUND(L385*(1-I385),2)</x:f>
        <x:v>3300</x:v>
      </x:c>
      <x:c r="N385" s="2" t="n">
        <x:f>G385*J385</x:f>
        <x:v>1950</x:v>
      </x:c>
      <x:c r="O385" s="2" t="n">
        <x:f>M385-N385-K385</x:f>
        <x:v>1230</x:v>
      </x:c>
      <x:c r="P385" s="1" t="str">
        <x:f>TEXT(B385,"yyyy-mm")</x:f>
        <x:v>2025-07</x:v>
      </x:c>
    </x:row>
    <x:row r="386">
      <x:c r="A386" s="1" t="str">
        <x:v>ORD-0382</x:v>
      </x:c>
      <x:c r="B386" s="4" t="d">
        <x:v>2025-12-31T00:00:00.000Z</x:v>
      </x:c>
      <x:c r="C386" s="1" t="str">
        <x:v>C-250</x:v>
      </x:c>
      <x:c r="D386" s="1" t="str">
        <x:v>East</x:v>
      </x:c>
      <x:c r="E386" s="1" t="str">
        <x:v>Fashion</x:v>
      </x:c>
      <x:c r="F386" s="1" t="str">
        <x:v>Backpack</x:v>
      </x:c>
      <x:c r="G386" s="1" t="n">
        <x:v>1</x:v>
      </x:c>
      <x:c r="H386" s="2" t="n">
        <x:v>1300</x:v>
      </x:c>
      <x:c r="I386" s="3" t="n">
        <x:v>0.15</x:v>
      </x:c>
      <x:c r="J386" s="2" t="n">
        <x:v>650</x:v>
      </x:c>
      <x:c r="K386" s="2" t="n">
        <x:v>120</x:v>
      </x:c>
      <x:c r="L386" s="2" t="n">
        <x:f>G386*H386</x:f>
        <x:v>1300</x:v>
      </x:c>
      <x:c r="M386" s="2" t="n">
        <x:f>ROUND(L386*(1-I386),2)</x:f>
        <x:v>1105</x:v>
      </x:c>
      <x:c r="N386" s="2" t="n">
        <x:f>G386*J386</x:f>
        <x:v>650</x:v>
      </x:c>
      <x:c r="O386" s="2" t="n">
        <x:f>M386-N386-K386</x:f>
        <x:v>335</x:v>
      </x:c>
      <x:c r="P386" s="1" t="str">
        <x:f>TEXT(B386,"yyyy-mm")</x:f>
        <x:v>2025-12</x:v>
      </x:c>
    </x:row>
    <x:row r="387">
      <x:c r="A387" s="1" t="str">
        <x:v>ORD-0383</x:v>
      </x:c>
      <x:c r="B387" s="4" t="d">
        <x:v>2025-02-22T00:00:00.000Z</x:v>
      </x:c>
      <x:c r="C387" s="1" t="str">
        <x:v>C-184</x:v>
      </x:c>
      <x:c r="D387" s="1" t="str">
        <x:v>North</x:v>
      </x:c>
      <x:c r="E387" s="1" t="str">
        <x:v>Home</x:v>
      </x:c>
      <x:c r="F387" s="1" t="str">
        <x:v>Desk lamp</x:v>
      </x:c>
      <x:c r="G387" s="1" t="n">
        <x:v>4</x:v>
      </x:c>
      <x:c r="H387" s="2" t="n">
        <x:v>1100</x:v>
      </x:c>
      <x:c r="I387" s="3" t="n">
        <x:v>0.35</x:v>
      </x:c>
      <x:c r="J387" s="2" t="n">
        <x:v>650</x:v>
      </x:c>
      <x:c r="K387" s="2" t="n">
        <x:v>50</x:v>
      </x:c>
      <x:c r="L387" s="2" t="n">
        <x:f>G387*H387</x:f>
        <x:v>4400</x:v>
      </x:c>
      <x:c r="M387" s="2" t="n">
        <x:f>ROUND(L387*(1-I387),2)</x:f>
        <x:v>2860</x:v>
      </x:c>
      <x:c r="N387" s="2" t="n">
        <x:f>G387*J387</x:f>
        <x:v>2600</x:v>
      </x:c>
      <x:c r="O387" s="2" t="n">
        <x:f>M387-N387-K387</x:f>
        <x:v>210</x:v>
      </x:c>
      <x:c r="P387" s="1" t="str">
        <x:f>TEXT(B387,"yyyy-mm")</x:f>
        <x:v>2025-02</x:v>
      </x:c>
    </x:row>
    <x:row r="388">
      <x:c r="A388" s="1" t="str">
        <x:v>ORD-0384</x:v>
      </x:c>
      <x:c r="B388" s="4" t="d">
        <x:v>2025-12-09T00:00:00.000Z</x:v>
      </x:c>
      <x:c r="C388" s="1" t="str">
        <x:v>C-166</x:v>
      </x:c>
      <x:c r="D388" s="1" t="str">
        <x:v>East</x:v>
      </x:c>
      <x:c r="E388" s="1" t="str">
        <x:v>Fashion</x:v>
      </x:c>
      <x:c r="F388" s="1" t="str">
        <x:v>T-shirt</x:v>
      </x:c>
      <x:c r="G388" s="1" t="n">
        <x:v>3</x:v>
      </x:c>
      <x:c r="H388" s="2" t="n">
        <x:v>700</x:v>
      </x:c>
      <x:c r="I388" s="3" t="n">
        <x:v>0.15</x:v>
      </x:c>
      <x:c r="J388" s="2" t="n">
        <x:v>300</x:v>
      </x:c>
      <x:c r="K388" s="2" t="n">
        <x:v>120</x:v>
      </x:c>
      <x:c r="L388" s="2" t="n">
        <x:f>G388*H388</x:f>
        <x:v>2100</x:v>
      </x:c>
      <x:c r="M388" s="2" t="n">
        <x:f>ROUND(L388*(1-I388),2)</x:f>
        <x:v>1785</x:v>
      </x:c>
      <x:c r="N388" s="2" t="n">
        <x:f>G388*J388</x:f>
        <x:v>900</x:v>
      </x:c>
      <x:c r="O388" s="2" t="n">
        <x:f>M388-N388-K388</x:f>
        <x:v>765</x:v>
      </x:c>
      <x:c r="P388" s="1" t="str">
        <x:f>TEXT(B388,"yyyy-mm")</x:f>
        <x:v>2025-12</x:v>
      </x:c>
    </x:row>
    <x:row r="389">
      <x:c r="A389" s="1" t="str">
        <x:v>ORD-0385</x:v>
      </x:c>
      <x:c r="B389" s="4" t="d">
        <x:v>2025-09-29T00:00:00.000Z</x:v>
      </x:c>
      <x:c r="C389" s="1" t="str">
        <x:v>C-025</x:v>
      </x:c>
      <x:c r="D389" s="1" t="str">
        <x:v>North</x:v>
      </x:c>
      <x:c r="E389" s="1" t="str">
        <x:v>Home</x:v>
      </x:c>
      <x:c r="F389" s="1" t="str">
        <x:v>Desk lamp</x:v>
      </x:c>
      <x:c r="G389" s="1" t="n">
        <x:v>1</x:v>
      </x:c>
      <x:c r="H389" s="2" t="n">
        <x:v>1100</x:v>
      </x:c>
      <x:c r="I389" s="3" t="n">
        <x:v>0.1</x:v>
      </x:c>
      <x:c r="J389" s="2" t="n">
        <x:v>650</x:v>
      </x:c>
      <x:c r="K389" s="2" t="n">
        <x:v>120</x:v>
      </x:c>
      <x:c r="L389" s="2" t="n">
        <x:f>G389*H389</x:f>
        <x:v>1100</x:v>
      </x:c>
      <x:c r="M389" s="2" t="n">
        <x:f>ROUND(L389*(1-I389),2)</x:f>
        <x:v>990</x:v>
      </x:c>
      <x:c r="N389" s="2" t="n">
        <x:f>G389*J389</x:f>
        <x:v>650</x:v>
      </x:c>
      <x:c r="O389" s="2" t="n">
        <x:f>M389-N389-K389</x:f>
        <x:v>220</x:v>
      </x:c>
      <x:c r="P389" s="1" t="str">
        <x:f>TEXT(B389,"yyyy-mm")</x:f>
        <x:v>2025-09</x:v>
      </x:c>
    </x:row>
    <x:row r="390">
      <x:c r="A390" s="1" t="str">
        <x:v>ORD-0386</x:v>
      </x:c>
      <x:c r="B390" s="4" t="d">
        <x:v>2025-11-04T00:00:00.000Z</x:v>
      </x:c>
      <x:c r="C390" s="1" t="str">
        <x:v>C-081</x:v>
      </x:c>
      <x:c r="D390" s="1" t="str">
        <x:v>West</x:v>
      </x:c>
      <x:c r="E390" s="1" t="str">
        <x:v>Home</x:v>
      </x:c>
      <x:c r="F390" s="1" t="str">
        <x:v>Desk lamp</x:v>
      </x:c>
      <x:c r="G390" s="1" t="n">
        <x:v>4</x:v>
      </x:c>
      <x:c r="H390" s="2" t="n">
        <x:v>1100</x:v>
      </x:c>
      <x:c r="I390" s="3" t="n">
        <x:v>0</x:v>
      </x:c>
      <x:c r="J390" s="2" t="n">
        <x:v>650</x:v>
      </x:c>
      <x:c r="K390" s="2" t="n">
        <x:v>50</x:v>
      </x:c>
      <x:c r="L390" s="2" t="n">
        <x:f>G390*H390</x:f>
        <x:v>4400</x:v>
      </x:c>
      <x:c r="M390" s="2" t="n">
        <x:f>ROUND(L390*(1-I390),2)</x:f>
        <x:v>4400</x:v>
      </x:c>
      <x:c r="N390" s="2" t="n">
        <x:f>G390*J390</x:f>
        <x:v>2600</x:v>
      </x:c>
      <x:c r="O390" s="2" t="n">
        <x:f>M390-N390-K390</x:f>
        <x:v>1750</x:v>
      </x:c>
      <x:c r="P390" s="1" t="str">
        <x:f>TEXT(B390,"yyyy-mm")</x:f>
        <x:v>2025-11</x:v>
      </x:c>
    </x:row>
    <x:row r="391">
      <x:c r="A391" s="1" t="str">
        <x:v>ORD-0387</x:v>
      </x:c>
      <x:c r="B391" s="4" t="d">
        <x:v>2025-12-23T00:00:00.000Z</x:v>
      </x:c>
      <x:c r="C391" s="1" t="str">
        <x:v>C-068</x:v>
      </x:c>
      <x:c r="D391" s="1" t="str">
        <x:v>East</x:v>
      </x:c>
      <x:c r="E391" s="1" t="str">
        <x:v>Home</x:v>
      </x:c>
      <x:c r="F391" s="1" t="str">
        <x:v>Office chair</x:v>
      </x:c>
      <x:c r="G391" s="1" t="n">
        <x:v>2</x:v>
      </x:c>
      <x:c r="H391" s="2" t="n">
        <x:v>5500</x:v>
      </x:c>
      <x:c r="I391" s="3" t="n">
        <x:v>0.05</x:v>
      </x:c>
      <x:c r="J391" s="2" t="n">
        <x:v>4400</x:v>
      </x:c>
      <x:c r="K391" s="2" t="n">
        <x:v>80</x:v>
      </x:c>
      <x:c r="L391" s="2" t="n">
        <x:f>G391*H391</x:f>
        <x:v>11000</x:v>
      </x:c>
      <x:c r="M391" s="2" t="n">
        <x:f>ROUND(L391*(1-I391),2)</x:f>
        <x:v>10450</x:v>
      </x:c>
      <x:c r="N391" s="2" t="n">
        <x:f>G391*J391</x:f>
        <x:v>8800</x:v>
      </x:c>
      <x:c r="O391" s="2" t="n">
        <x:f>M391-N391-K391</x:f>
        <x:v>1570</x:v>
      </x:c>
      <x:c r="P391" s="1" t="str">
        <x:f>TEXT(B391,"yyyy-mm")</x:f>
        <x:v>2025-12</x:v>
      </x:c>
    </x:row>
    <x:row r="392">
      <x:c r="A392" s="1" t="str">
        <x:v>ORD-0388</x:v>
      </x:c>
      <x:c r="B392" s="4" t="d">
        <x:v>2025-02-03T00:00:00.000Z</x:v>
      </x:c>
      <x:c r="C392" s="1" t="str">
        <x:v>C-191</x:v>
      </x:c>
      <x:c r="D392" s="1" t="str">
        <x:v>South</x:v>
      </x:c>
      <x:c r="E392" s="1" t="str">
        <x:v>Fashion</x:v>
      </x:c>
      <x:c r="F392" s="1" t="str">
        <x:v>Backpack</x:v>
      </x:c>
      <x:c r="G392" s="1" t="n">
        <x:v>1</x:v>
      </x:c>
      <x:c r="H392" s="2" t="n">
        <x:v>1300</x:v>
      </x:c>
      <x:c r="I392" s="3" t="n">
        <x:v>0.1</x:v>
      </x:c>
      <x:c r="J392" s="2" t="n">
        <x:v>650</x:v>
      </x:c>
      <x:c r="K392" s="2" t="n">
        <x:v>80</x:v>
      </x:c>
      <x:c r="L392" s="2" t="n">
        <x:f>G392*H392</x:f>
        <x:v>1300</x:v>
      </x:c>
      <x:c r="M392" s="2" t="n">
        <x:f>ROUND(L392*(1-I392),2)</x:f>
        <x:v>1170</x:v>
      </x:c>
      <x:c r="N392" s="2" t="n">
        <x:f>G392*J392</x:f>
        <x:v>650</x:v>
      </x:c>
      <x:c r="O392" s="2" t="n">
        <x:f>M392-N392-K392</x:f>
        <x:v>440</x:v>
      </x:c>
      <x:c r="P392" s="1" t="str">
        <x:f>TEXT(B392,"yyyy-mm")</x:f>
        <x:v>2025-02</x:v>
      </x:c>
    </x:row>
    <x:row r="393">
      <x:c r="A393" s="1" t="str">
        <x:v>ORD-0389</x:v>
      </x:c>
      <x:c r="B393" s="4" t="d">
        <x:v>2025-09-21T00:00:00.000Z</x:v>
      </x:c>
      <x:c r="C393" s="1" t="str">
        <x:v>C-047</x:v>
      </x:c>
      <x:c r="D393" s="1" t="str">
        <x:v>North</x:v>
      </x:c>
      <x:c r="E393" s="1" t="str">
        <x:v>Fashion</x:v>
      </x:c>
      <x:c r="F393" s="1" t="str">
        <x:v>T-shirt</x:v>
      </x:c>
      <x:c r="G393" s="1" t="n">
        <x:v>1</x:v>
      </x:c>
      <x:c r="H393" s="2" t="n">
        <x:v>700</x:v>
      </x:c>
      <x:c r="I393" s="3" t="n">
        <x:v>0.15</x:v>
      </x:c>
      <x:c r="J393" s="2" t="n">
        <x:v>300</x:v>
      </x:c>
      <x:c r="K393" s="2" t="n">
        <x:v>50</x:v>
      </x:c>
      <x:c r="L393" s="2" t="n">
        <x:f>G393*H393</x:f>
        <x:v>700</x:v>
      </x:c>
      <x:c r="M393" s="2" t="n">
        <x:f>ROUND(L393*(1-I393),2)</x:f>
        <x:v>595</x:v>
      </x:c>
      <x:c r="N393" s="2" t="n">
        <x:f>G393*J393</x:f>
        <x:v>300</x:v>
      </x:c>
      <x:c r="O393" s="2" t="n">
        <x:f>M393-N393-K393</x:f>
        <x:v>245</x:v>
      </x:c>
      <x:c r="P393" s="1" t="str">
        <x:f>TEXT(B393,"yyyy-mm")</x:f>
        <x:v>2025-09</x:v>
      </x:c>
    </x:row>
    <x:row r="394">
      <x:c r="A394" s="1" t="str">
        <x:v>ORD-0390</x:v>
      </x:c>
      <x:c r="B394" s="4" t="d">
        <x:v>2025-07-08T00:00:00.000Z</x:v>
      </x:c>
      <x:c r="C394" s="1" t="str">
        <x:v>C-266</x:v>
      </x:c>
      <x:c r="D394" s="1" t="str">
        <x:v>West</x:v>
      </x:c>
      <x:c r="E394" s="1" t="str">
        <x:v>Electronics</x:v>
      </x:c>
      <x:c r="F394" s="1" t="str">
        <x:v>Smartwatch</x:v>
      </x:c>
      <x:c r="G394" s="1" t="n">
        <x:v>1</x:v>
      </x:c>
      <x:c r="H394" s="2" t="n">
        <x:v>4200</x:v>
      </x:c>
      <x:c r="I394" s="3" t="n">
        <x:v>0.25</x:v>
      </x:c>
      <x:c r="J394" s="2" t="n">
        <x:v>3000</x:v>
      </x:c>
      <x:c r="K394" s="2" t="n">
        <x:v>50</x:v>
      </x:c>
      <x:c r="L394" s="2" t="n">
        <x:f>G394*H394</x:f>
        <x:v>4200</x:v>
      </x:c>
      <x:c r="M394" s="2" t="n">
        <x:f>ROUND(L394*(1-I394),2)</x:f>
        <x:v>3150</x:v>
      </x:c>
      <x:c r="N394" s="2" t="n">
        <x:f>G394*J394</x:f>
        <x:v>3000</x:v>
      </x:c>
      <x:c r="O394" s="2" t="n">
        <x:f>M394-N394-K394</x:f>
        <x:v>100</x:v>
      </x:c>
      <x:c r="P394" s="1" t="str">
        <x:f>TEXT(B394,"yyyy-mm")</x:f>
        <x:v>2025-07</x:v>
      </x:c>
    </x:row>
    <x:row r="395">
      <x:c r="A395" s="1" t="str">
        <x:v>ORD-0391</x:v>
      </x:c>
      <x:c r="B395" s="4" t="d">
        <x:v>2025-10-23T00:00:00.000Z</x:v>
      </x:c>
      <x:c r="C395" s="1" t="str">
        <x:v>C-068</x:v>
      </x:c>
      <x:c r="D395" s="1" t="str">
        <x:v>West</x:v>
      </x:c>
      <x:c r="E395" s="1" t="str">
        <x:v>Electronics</x:v>
      </x:c>
      <x:c r="F395" s="1" t="str">
        <x:v>Keyboard</x:v>
      </x:c>
      <x:c r="G395" s="1" t="n">
        <x:v>1</x:v>
      </x:c>
      <x:c r="H395" s="2" t="n">
        <x:v>1500</x:v>
      </x:c>
      <x:c r="I395" s="3" t="n">
        <x:v>0.15</x:v>
      </x:c>
      <x:c r="J395" s="2" t="n">
        <x:v>900</x:v>
      </x:c>
      <x:c r="K395" s="2" t="n">
        <x:v>50</x:v>
      </x:c>
      <x:c r="L395" s="2" t="n">
        <x:f>G395*H395</x:f>
        <x:v>1500</x:v>
      </x:c>
      <x:c r="M395" s="2" t="n">
        <x:f>ROUND(L395*(1-I395),2)</x:f>
        <x:v>1275</x:v>
      </x:c>
      <x:c r="N395" s="2" t="n">
        <x:f>G395*J395</x:f>
        <x:v>900</x:v>
      </x:c>
      <x:c r="O395" s="2" t="n">
        <x:f>M395-N395-K395</x:f>
        <x:v>325</x:v>
      </x:c>
      <x:c r="P395" s="1" t="str">
        <x:f>TEXT(B395,"yyyy-mm")</x:f>
        <x:v>2025-10</x:v>
      </x:c>
    </x:row>
    <x:row r="396">
      <x:c r="A396" s="1" t="str">
        <x:v>ORD-0392</x:v>
      </x:c>
      <x:c r="B396" s="4" t="d">
        <x:v>2025-06-11T00:00:00.000Z</x:v>
      </x:c>
      <x:c r="C396" s="1" t="str">
        <x:v>C-189</x:v>
      </x:c>
      <x:c r="D396" s="1" t="str">
        <x:v>East</x:v>
      </x:c>
      <x:c r="E396" s="1" t="str">
        <x:v>Electronics</x:v>
      </x:c>
      <x:c r="F396" s="1" t="str">
        <x:v>Keyboard</x:v>
      </x:c>
      <x:c r="G396" s="1" t="n">
        <x:v>2</x:v>
      </x:c>
      <x:c r="H396" s="2" t="n">
        <x:v>1500</x:v>
      </x:c>
      <x:c r="I396" s="3" t="n">
        <x:v>0</x:v>
      </x:c>
      <x:c r="J396" s="2" t="n">
        <x:v>900</x:v>
      </x:c>
      <x:c r="K396" s="2" t="n">
        <x:v>80</x:v>
      </x:c>
      <x:c r="L396" s="2" t="n">
        <x:f>G396*H396</x:f>
        <x:v>3000</x:v>
      </x:c>
      <x:c r="M396" s="2" t="n">
        <x:f>ROUND(L396*(1-I396),2)</x:f>
        <x:v>3000</x:v>
      </x:c>
      <x:c r="N396" s="2" t="n">
        <x:f>G396*J396</x:f>
        <x:v>1800</x:v>
      </x:c>
      <x:c r="O396" s="2" t="n">
        <x:f>M396-N396-K396</x:f>
        <x:v>1120</x:v>
      </x:c>
      <x:c r="P396" s="1" t="str">
        <x:f>TEXT(B396,"yyyy-mm")</x:f>
        <x:v>2025-06</x:v>
      </x:c>
    </x:row>
    <x:row r="397">
      <x:c r="A397" s="1" t="str">
        <x:v>ORD-0393</x:v>
      </x:c>
      <x:c r="B397" s="4" t="d">
        <x:v>2025-11-22T00:00:00.000Z</x:v>
      </x:c>
      <x:c r="C397" s="1" t="str">
        <x:v>C-074</x:v>
      </x:c>
      <x:c r="D397" s="1" t="str">
        <x:v>North</x:v>
      </x:c>
      <x:c r="E397" s="1" t="str">
        <x:v>Electronics</x:v>
      </x:c>
      <x:c r="F397" s="1" t="str">
        <x:v>Smartwatch</x:v>
      </x:c>
      <x:c r="G397" s="1" t="n">
        <x:v>1</x:v>
      </x:c>
      <x:c r="H397" s="2" t="n">
        <x:v>4200</x:v>
      </x:c>
      <x:c r="I397" s="3" t="n">
        <x:v>0.35</x:v>
      </x:c>
      <x:c r="J397" s="2" t="n">
        <x:v>3000</x:v>
      </x:c>
      <x:c r="K397" s="2" t="n">
        <x:v>120</x:v>
      </x:c>
      <x:c r="L397" s="2" t="n">
        <x:f>G397*H397</x:f>
        <x:v>4200</x:v>
      </x:c>
      <x:c r="M397" s="2" t="n">
        <x:f>ROUND(L397*(1-I397),2)</x:f>
        <x:v>2730</x:v>
      </x:c>
      <x:c r="N397" s="2" t="n">
        <x:f>G397*J397</x:f>
        <x:v>3000</x:v>
      </x:c>
      <x:c r="O397" s="2" t="n">
        <x:f>M397-N397-K397</x:f>
        <x:v>-390</x:v>
      </x:c>
      <x:c r="P397" s="1" t="str">
        <x:f>TEXT(B397,"yyyy-mm")</x:f>
        <x:v>2025-11</x:v>
      </x:c>
    </x:row>
    <x:row r="398">
      <x:c r="A398" s="1" t="str">
        <x:v>ORD-0394</x:v>
      </x:c>
      <x:c r="B398" s="4" t="d">
        <x:v>2025-09-24T00:00:00.000Z</x:v>
      </x:c>
      <x:c r="C398" s="1" t="str">
        <x:v>C-110</x:v>
      </x:c>
      <x:c r="D398" s="1" t="str">
        <x:v>South</x:v>
      </x:c>
      <x:c r="E398" s="1" t="str">
        <x:v>Home</x:v>
      </x:c>
      <x:c r="F398" s="1" t="str">
        <x:v>Desk lamp</x:v>
      </x:c>
      <x:c r="G398" s="1" t="n">
        <x:v>4</x:v>
      </x:c>
      <x:c r="H398" s="2" t="n">
        <x:v>1100</x:v>
      </x:c>
      <x:c r="I398" s="3" t="n">
        <x:v>0.1</x:v>
      </x:c>
      <x:c r="J398" s="2" t="n">
        <x:v>650</x:v>
      </x:c>
      <x:c r="K398" s="2" t="n">
        <x:v>120</x:v>
      </x:c>
      <x:c r="L398" s="2" t="n">
        <x:f>G398*H398</x:f>
        <x:v>4400</x:v>
      </x:c>
      <x:c r="M398" s="2" t="n">
        <x:f>ROUND(L398*(1-I398),2)</x:f>
        <x:v>3960</x:v>
      </x:c>
      <x:c r="N398" s="2" t="n">
        <x:f>G398*J398</x:f>
        <x:v>2600</x:v>
      </x:c>
      <x:c r="O398" s="2" t="n">
        <x:f>M398-N398-K398</x:f>
        <x:v>1240</x:v>
      </x:c>
      <x:c r="P398" s="1" t="str">
        <x:f>TEXT(B398,"yyyy-mm")</x:f>
        <x:v>2025-09</x:v>
      </x:c>
    </x:row>
    <x:row r="399">
      <x:c r="A399" s="1" t="str">
        <x:v>ORD-0395</x:v>
      </x:c>
      <x:c r="B399" s="4" t="d">
        <x:v>2025-10-29T00:00:00.000Z</x:v>
      </x:c>
      <x:c r="C399" s="1" t="str">
        <x:v>C-052</x:v>
      </x:c>
      <x:c r="D399" s="1" t="str">
        <x:v>South</x:v>
      </x:c>
      <x:c r="E399" s="1" t="str">
        <x:v>Fashion</x:v>
      </x:c>
      <x:c r="F399" s="1" t="str">
        <x:v>T-shirt</x:v>
      </x:c>
      <x:c r="G399" s="1" t="n">
        <x:v>1</x:v>
      </x:c>
      <x:c r="H399" s="2" t="n">
        <x:v>700</x:v>
      </x:c>
      <x:c r="I399" s="3" t="n">
        <x:v>0</x:v>
      </x:c>
      <x:c r="J399" s="2" t="n">
        <x:v>300</x:v>
      </x:c>
      <x:c r="K399" s="2" t="n">
        <x:v>120</x:v>
      </x:c>
      <x:c r="L399" s="2" t="n">
        <x:f>G399*H399</x:f>
        <x:v>700</x:v>
      </x:c>
      <x:c r="M399" s="2" t="n">
        <x:f>ROUND(L399*(1-I399),2)</x:f>
        <x:v>700</x:v>
      </x:c>
      <x:c r="N399" s="2" t="n">
        <x:f>G399*J399</x:f>
        <x:v>300</x:v>
      </x:c>
      <x:c r="O399" s="2" t="n">
        <x:f>M399-N399-K399</x:f>
        <x:v>280</x:v>
      </x:c>
      <x:c r="P399" s="1" t="str">
        <x:f>TEXT(B399,"yyyy-mm")</x:f>
        <x:v>2025-10</x:v>
      </x:c>
    </x:row>
    <x:row r="400">
      <x:c r="A400" s="1" t="str">
        <x:v>ORD-0396</x:v>
      </x:c>
      <x:c r="B400" s="4" t="d">
        <x:v>2025-10-11T00:00:00.000Z</x:v>
      </x:c>
      <x:c r="C400" s="1" t="str">
        <x:v>C-072</x:v>
      </x:c>
      <x:c r="D400" s="1" t="str">
        <x:v>South</x:v>
      </x:c>
      <x:c r="E400" s="1" t="str">
        <x:v>Fashion</x:v>
      </x:c>
      <x:c r="F400" s="1" t="str">
        <x:v>Backpack</x:v>
      </x:c>
      <x:c r="G400" s="1" t="n">
        <x:v>3</x:v>
      </x:c>
      <x:c r="H400" s="2" t="n">
        <x:v>1300</x:v>
      </x:c>
      <x:c r="I400" s="3" t="n">
        <x:v>0.15</x:v>
      </x:c>
      <x:c r="J400" s="2" t="n">
        <x:v>650</x:v>
      </x:c>
      <x:c r="K400" s="2" t="n">
        <x:v>120</x:v>
      </x:c>
      <x:c r="L400" s="2" t="n">
        <x:f>G400*H400</x:f>
        <x:v>3900</x:v>
      </x:c>
      <x:c r="M400" s="2" t="n">
        <x:f>ROUND(L400*(1-I400),2)</x:f>
        <x:v>3315</x:v>
      </x:c>
      <x:c r="N400" s="2" t="n">
        <x:f>G400*J400</x:f>
        <x:v>1950</x:v>
      </x:c>
      <x:c r="O400" s="2" t="n">
        <x:f>M400-N400-K400</x:f>
        <x:v>1245</x:v>
      </x:c>
      <x:c r="P400" s="1" t="str">
        <x:f>TEXT(B400,"yyyy-mm")</x:f>
        <x:v>2025-10</x:v>
      </x:c>
    </x:row>
    <x:row r="401">
      <x:c r="A401" s="1" t="str">
        <x:v>ORD-0397</x:v>
      </x:c>
      <x:c r="B401" s="4" t="d">
        <x:v>2025-02-20T00:00:00.000Z</x:v>
      </x:c>
      <x:c r="C401" s="1" t="str">
        <x:v>C-146</x:v>
      </x:c>
      <x:c r="D401" s="1" t="str">
        <x:v>North</x:v>
      </x:c>
      <x:c r="E401" s="1" t="str">
        <x:v>Home</x:v>
      </x:c>
      <x:c r="F401" s="1" t="str">
        <x:v>Storage box</x:v>
      </x:c>
      <x:c r="G401" s="1" t="n">
        <x:v>3</x:v>
      </x:c>
      <x:c r="H401" s="2" t="n">
        <x:v>800</x:v>
      </x:c>
      <x:c r="I401" s="3" t="n">
        <x:v>0.25</x:v>
      </x:c>
      <x:c r="J401" s="2" t="n">
        <x:v>420</x:v>
      </x:c>
      <x:c r="K401" s="2" t="n">
        <x:v>50</x:v>
      </x:c>
      <x:c r="L401" s="2" t="n">
        <x:f>G401*H401</x:f>
        <x:v>2400</x:v>
      </x:c>
      <x:c r="M401" s="2" t="n">
        <x:f>ROUND(L401*(1-I401),2)</x:f>
        <x:v>1800</x:v>
      </x:c>
      <x:c r="N401" s="2" t="n">
        <x:f>G401*J401</x:f>
        <x:v>1260</x:v>
      </x:c>
      <x:c r="O401" s="2" t="n">
        <x:f>M401-N401-K401</x:f>
        <x:v>490</x:v>
      </x:c>
      <x:c r="P401" s="1" t="str">
        <x:f>TEXT(B401,"yyyy-mm")</x:f>
        <x:v>2025-02</x:v>
      </x:c>
    </x:row>
    <x:row r="402">
      <x:c r="A402" s="1" t="str">
        <x:v>ORD-0398</x:v>
      </x:c>
      <x:c r="B402" s="4" t="d">
        <x:v>2025-08-24T00:00:00.000Z</x:v>
      </x:c>
      <x:c r="C402" s="1" t="str">
        <x:v>C-201</x:v>
      </x:c>
      <x:c r="D402" s="1" t="str">
        <x:v>East</x:v>
      </x:c>
      <x:c r="E402" s="1" t="str">
        <x:v>Home</x:v>
      </x:c>
      <x:c r="F402" s="1" t="str">
        <x:v>Storage box</x:v>
      </x:c>
      <x:c r="G402" s="1" t="n">
        <x:v>1</x:v>
      </x:c>
      <x:c r="H402" s="2" t="n">
        <x:v>800</x:v>
      </x:c>
      <x:c r="I402" s="3" t="n">
        <x:v>0.05</x:v>
      </x:c>
      <x:c r="J402" s="2" t="n">
        <x:v>420</x:v>
      </x:c>
      <x:c r="K402" s="2" t="n">
        <x:v>50</x:v>
      </x:c>
      <x:c r="L402" s="2" t="n">
        <x:f>G402*H402</x:f>
        <x:v>800</x:v>
      </x:c>
      <x:c r="M402" s="2" t="n">
        <x:f>ROUND(L402*(1-I402),2)</x:f>
        <x:v>760</x:v>
      </x:c>
      <x:c r="N402" s="2" t="n">
        <x:f>G402*J402</x:f>
        <x:v>420</x:v>
      </x:c>
      <x:c r="O402" s="2" t="n">
        <x:f>M402-N402-K402</x:f>
        <x:v>290</x:v>
      </x:c>
      <x:c r="P402" s="1" t="str">
        <x:f>TEXT(B402,"yyyy-mm")</x:f>
        <x:v>2025-08</x:v>
      </x:c>
    </x:row>
    <x:row r="403">
      <x:c r="A403" s="1" t="str">
        <x:v>ORD-0399</x:v>
      </x:c>
      <x:c r="B403" s="4" t="d">
        <x:v>2025-08-16T00:00:00.000Z</x:v>
      </x:c>
      <x:c r="C403" s="1" t="str">
        <x:v>C-037</x:v>
      </x:c>
      <x:c r="D403" s="1" t="str">
        <x:v>North</x:v>
      </x:c>
      <x:c r="E403" s="1" t="str">
        <x:v>Electronics</x:v>
      </x:c>
      <x:c r="F403" s="1" t="str">
        <x:v>Keyboard</x:v>
      </x:c>
      <x:c r="G403" s="1" t="n">
        <x:v>3</x:v>
      </x:c>
      <x:c r="H403" s="2" t="n">
        <x:v>1500</x:v>
      </x:c>
      <x:c r="I403" s="3" t="n">
        <x:v>0.05</x:v>
      </x:c>
      <x:c r="J403" s="2" t="n">
        <x:v>900</x:v>
      </x:c>
      <x:c r="K403" s="2" t="n">
        <x:v>80</x:v>
      </x:c>
      <x:c r="L403" s="2" t="n">
        <x:f>G403*H403</x:f>
        <x:v>4500</x:v>
      </x:c>
      <x:c r="M403" s="2" t="n">
        <x:f>ROUND(L403*(1-I403),2)</x:f>
        <x:v>4275</x:v>
      </x:c>
      <x:c r="N403" s="2" t="n">
        <x:f>G403*J403</x:f>
        <x:v>2700</x:v>
      </x:c>
      <x:c r="O403" s="2" t="n">
        <x:f>M403-N403-K403</x:f>
        <x:v>1495</x:v>
      </x:c>
      <x:c r="P403" s="1" t="str">
        <x:f>TEXT(B403,"yyyy-mm")</x:f>
        <x:v>2025-08</x:v>
      </x:c>
    </x:row>
    <x:row r="404">
      <x:c r="A404" s="1" t="str">
        <x:v>ORD-0400</x:v>
      </x:c>
      <x:c r="B404" s="4" t="d">
        <x:v>2025-03-18T00:00:00.000Z</x:v>
      </x:c>
      <x:c r="C404" s="1" t="str">
        <x:v>C-089</x:v>
      </x:c>
      <x:c r="D404" s="1" t="str">
        <x:v>West</x:v>
      </x:c>
      <x:c r="E404" s="1" t="str">
        <x:v>Home</x:v>
      </x:c>
      <x:c r="F404" s="1" t="str">
        <x:v>Office chair</x:v>
      </x:c>
      <x:c r="G404" s="1" t="n">
        <x:v>1</x:v>
      </x:c>
      <x:c r="H404" s="2" t="n">
        <x:v>5500</x:v>
      </x:c>
      <x:c r="I404" s="3" t="n">
        <x:v>0.1</x:v>
      </x:c>
      <x:c r="J404" s="2" t="n">
        <x:v>4400</x:v>
      </x:c>
      <x:c r="K404" s="2" t="n">
        <x:v>50</x:v>
      </x:c>
      <x:c r="L404" s="2" t="n">
        <x:f>G404*H404</x:f>
        <x:v>5500</x:v>
      </x:c>
      <x:c r="M404" s="2" t="n">
        <x:f>ROUND(L404*(1-I404),2)</x:f>
        <x:v>4950</x:v>
      </x:c>
      <x:c r="N404" s="2" t="n">
        <x:f>G404*J404</x:f>
        <x:v>4400</x:v>
      </x:c>
      <x:c r="O404" s="2" t="n">
        <x:f>M404-N404-K404</x:f>
        <x:v>500</x:v>
      </x:c>
      <x:c r="P404" s="1" t="str">
        <x:f>TEXT(B404,"yyyy-mm")</x:f>
        <x:v>2025-03</x:v>
      </x:c>
    </x:row>
    <x:row r="405">
      <x:c r="A405" s="1" t="str">
        <x:v>ORD-0401</x:v>
      </x:c>
      <x:c r="B405" s="4" t="d">
        <x:v>2025-09-07T00:00:00.000Z</x:v>
      </x:c>
      <x:c r="C405" s="1" t="str">
        <x:v>C-021</x:v>
      </x:c>
      <x:c r="D405" s="1" t="str">
        <x:v>North</x:v>
      </x:c>
      <x:c r="E405" s="1" t="str">
        <x:v>Electronics</x:v>
      </x:c>
      <x:c r="F405" s="1" t="str">
        <x:v>Headphones</x:v>
      </x:c>
      <x:c r="G405" s="1" t="n">
        <x:v>4</x:v>
      </x:c>
      <x:c r="H405" s="2" t="n">
        <x:v>2200</x:v>
      </x:c>
      <x:c r="I405" s="3" t="n">
        <x:v>0.1</x:v>
      </x:c>
      <x:c r="J405" s="2" t="n">
        <x:v>1450</x:v>
      </x:c>
      <x:c r="K405" s="2" t="n">
        <x:v>120</x:v>
      </x:c>
      <x:c r="L405" s="2" t="n">
        <x:f>G405*H405</x:f>
        <x:v>8800</x:v>
      </x:c>
      <x:c r="M405" s="2" t="n">
        <x:f>ROUND(L405*(1-I405),2)</x:f>
        <x:v>7920</x:v>
      </x:c>
      <x:c r="N405" s="2" t="n">
        <x:f>G405*J405</x:f>
        <x:v>5800</x:v>
      </x:c>
      <x:c r="O405" s="2" t="n">
        <x:f>M405-N405-K405</x:f>
        <x:v>2000</x:v>
      </x:c>
      <x:c r="P405" s="1" t="str">
        <x:f>TEXT(B405,"yyyy-mm")</x:f>
        <x:v>2025-09</x:v>
      </x:c>
    </x:row>
    <x:row r="406">
      <x:c r="A406" s="1" t="str">
        <x:v>ORD-0402</x:v>
      </x:c>
      <x:c r="B406" s="4" t="d">
        <x:v>2025-05-14T00:00:00.000Z</x:v>
      </x:c>
      <x:c r="C406" s="1" t="str">
        <x:v>C-206</x:v>
      </x:c>
      <x:c r="D406" s="1" t="str">
        <x:v>North</x:v>
      </x:c>
      <x:c r="E406" s="1" t="str">
        <x:v>Home</x:v>
      </x:c>
      <x:c r="F406" s="1" t="str">
        <x:v>Storage box</x:v>
      </x:c>
      <x:c r="G406" s="1" t="n">
        <x:v>2</x:v>
      </x:c>
      <x:c r="H406" s="2" t="n">
        <x:v>800</x:v>
      </x:c>
      <x:c r="I406" s="3" t="n">
        <x:v>0.15</x:v>
      </x:c>
      <x:c r="J406" s="2" t="n">
        <x:v>420</x:v>
      </x:c>
      <x:c r="K406" s="2" t="n">
        <x:v>80</x:v>
      </x:c>
      <x:c r="L406" s="2" t="n">
        <x:f>G406*H406</x:f>
        <x:v>1600</x:v>
      </x:c>
      <x:c r="M406" s="2" t="n">
        <x:f>ROUND(L406*(1-I406),2)</x:f>
        <x:v>1360</x:v>
      </x:c>
      <x:c r="N406" s="2" t="n">
        <x:f>G406*J406</x:f>
        <x:v>840</x:v>
      </x:c>
      <x:c r="O406" s="2" t="n">
        <x:f>M406-N406-K406</x:f>
        <x:v>440</x:v>
      </x:c>
      <x:c r="P406" s="1" t="str">
        <x:f>TEXT(B406,"yyyy-mm")</x:f>
        <x:v>2025-05</x:v>
      </x:c>
    </x:row>
    <x:row r="407">
      <x:c r="A407" s="1" t="str">
        <x:v>ORD-0403</x:v>
      </x:c>
      <x:c r="B407" s="4" t="d">
        <x:v>2025-02-07T00:00:00.000Z</x:v>
      </x:c>
      <x:c r="C407" s="1" t="str">
        <x:v>C-080</x:v>
      </x:c>
      <x:c r="D407" s="1" t="str">
        <x:v>East</x:v>
      </x:c>
      <x:c r="E407" s="1" t="str">
        <x:v>Electronics</x:v>
      </x:c>
      <x:c r="F407" s="1" t="str">
        <x:v>Keyboard</x:v>
      </x:c>
      <x:c r="G407" s="1" t="n">
        <x:v>4</x:v>
      </x:c>
      <x:c r="H407" s="2" t="n">
        <x:v>1500</x:v>
      </x:c>
      <x:c r="I407" s="3" t="n">
        <x:v>0.25</x:v>
      </x:c>
      <x:c r="J407" s="2" t="n">
        <x:v>900</x:v>
      </x:c>
      <x:c r="K407" s="2" t="n">
        <x:v>120</x:v>
      </x:c>
      <x:c r="L407" s="2" t="n">
        <x:f>G407*H407</x:f>
        <x:v>6000</x:v>
      </x:c>
      <x:c r="M407" s="2" t="n">
        <x:f>ROUND(L407*(1-I407),2)</x:f>
        <x:v>4500</x:v>
      </x:c>
      <x:c r="N407" s="2" t="n">
        <x:f>G407*J407</x:f>
        <x:v>3600</x:v>
      </x:c>
      <x:c r="O407" s="2" t="n">
        <x:f>M407-N407-K407</x:f>
        <x:v>780</x:v>
      </x:c>
      <x:c r="P407" s="1" t="str">
        <x:f>TEXT(B407,"yyyy-mm")</x:f>
        <x:v>2025-02</x:v>
      </x:c>
    </x:row>
    <x:row r="408">
      <x:c r="A408" s="1" t="str">
        <x:v>ORD-0404</x:v>
      </x:c>
      <x:c r="B408" s="4" t="d">
        <x:v>2025-09-23T00:00:00.000Z</x:v>
      </x:c>
      <x:c r="C408" s="1" t="str">
        <x:v>C-224</x:v>
      </x:c>
      <x:c r="D408" s="1" t="str">
        <x:v>South</x:v>
      </x:c>
      <x:c r="E408" s="1" t="str">
        <x:v>Electronics</x:v>
      </x:c>
      <x:c r="F408" s="1" t="str">
        <x:v>Keyboard</x:v>
      </x:c>
      <x:c r="G408" s="1" t="n">
        <x:v>1</x:v>
      </x:c>
      <x:c r="H408" s="2" t="n">
        <x:v>1500</x:v>
      </x:c>
      <x:c r="I408" s="3" t="n">
        <x:v>0.1</x:v>
      </x:c>
      <x:c r="J408" s="2" t="n">
        <x:v>900</x:v>
      </x:c>
      <x:c r="K408" s="2" t="n">
        <x:v>50</x:v>
      </x:c>
      <x:c r="L408" s="2" t="n">
        <x:f>G408*H408</x:f>
        <x:v>1500</x:v>
      </x:c>
      <x:c r="M408" s="2" t="n">
        <x:f>ROUND(L408*(1-I408),2)</x:f>
        <x:v>1350</x:v>
      </x:c>
      <x:c r="N408" s="2" t="n">
        <x:f>G408*J408</x:f>
        <x:v>900</x:v>
      </x:c>
      <x:c r="O408" s="2" t="n">
        <x:f>M408-N408-K408</x:f>
        <x:v>400</x:v>
      </x:c>
      <x:c r="P408" s="1" t="str">
        <x:f>TEXT(B408,"yyyy-mm")</x:f>
        <x:v>2025-09</x:v>
      </x:c>
    </x:row>
    <x:row r="409">
      <x:c r="A409" s="1" t="str">
        <x:v>ORD-0405</x:v>
      </x:c>
      <x:c r="B409" s="4" t="d">
        <x:v>2025-02-15T00:00:00.000Z</x:v>
      </x:c>
      <x:c r="C409" s="1" t="str">
        <x:v>C-029</x:v>
      </x:c>
      <x:c r="D409" s="1" t="str">
        <x:v>East</x:v>
      </x:c>
      <x:c r="E409" s="1" t="str">
        <x:v>Home</x:v>
      </x:c>
      <x:c r="F409" s="1" t="str">
        <x:v>Office chair</x:v>
      </x:c>
      <x:c r="G409" s="1" t="n">
        <x:v>2</x:v>
      </x:c>
      <x:c r="H409" s="2" t="n">
        <x:v>5500</x:v>
      </x:c>
      <x:c r="I409" s="3" t="n">
        <x:v>0</x:v>
      </x:c>
      <x:c r="J409" s="2" t="n">
        <x:v>4400</x:v>
      </x:c>
      <x:c r="K409" s="2" t="n">
        <x:v>50</x:v>
      </x:c>
      <x:c r="L409" s="2" t="n">
        <x:f>G409*H409</x:f>
        <x:v>11000</x:v>
      </x:c>
      <x:c r="M409" s="2" t="n">
        <x:f>ROUND(L409*(1-I409),2)</x:f>
        <x:v>11000</x:v>
      </x:c>
      <x:c r="N409" s="2" t="n">
        <x:f>G409*J409</x:f>
        <x:v>8800</x:v>
      </x:c>
      <x:c r="O409" s="2" t="n">
        <x:f>M409-N409-K409</x:f>
        <x:v>2150</x:v>
      </x:c>
      <x:c r="P409" s="1" t="str">
        <x:f>TEXT(B409,"yyyy-mm")</x:f>
        <x:v>2025-02</x:v>
      </x:c>
    </x:row>
    <x:row r="410">
      <x:c r="A410" s="1" t="str">
        <x:v>ORD-0406</x:v>
      </x:c>
      <x:c r="B410" s="4" t="d">
        <x:v>2025-01-01T00:00:00.000Z</x:v>
      </x:c>
      <x:c r="C410" s="1" t="str">
        <x:v>C-084</x:v>
      </x:c>
      <x:c r="D410" s="1" t="str">
        <x:v>West</x:v>
      </x:c>
      <x:c r="E410" s="1" t="str">
        <x:v>Electronics</x:v>
      </x:c>
      <x:c r="F410" s="1" t="str">
        <x:v>Smartwatch</x:v>
      </x:c>
      <x:c r="G410" s="1" t="n">
        <x:v>3</x:v>
      </x:c>
      <x:c r="H410" s="2" t="n">
        <x:v>4200</x:v>
      </x:c>
      <x:c r="I410" s="3" t="n">
        <x:v>0.35</x:v>
      </x:c>
      <x:c r="J410" s="2" t="n">
        <x:v>3000</x:v>
      </x:c>
      <x:c r="K410" s="2" t="n">
        <x:v>120</x:v>
      </x:c>
      <x:c r="L410" s="2" t="n">
        <x:f>G410*H410</x:f>
        <x:v>12600</x:v>
      </x:c>
      <x:c r="M410" s="2" t="n">
        <x:f>ROUND(L410*(1-I410),2)</x:f>
        <x:v>8190</x:v>
      </x:c>
      <x:c r="N410" s="2" t="n">
        <x:f>G410*J410</x:f>
        <x:v>9000</x:v>
      </x:c>
      <x:c r="O410" s="2" t="n">
        <x:f>M410-N410-K410</x:f>
        <x:v>-930</x:v>
      </x:c>
      <x:c r="P410" s="1" t="str">
        <x:f>TEXT(B410,"yyyy-mm")</x:f>
        <x:v>2025-01</x:v>
      </x:c>
    </x:row>
    <x:row r="411">
      <x:c r="A411" s="1" t="str">
        <x:v>ORD-0407</x:v>
      </x:c>
      <x:c r="B411" s="4" t="d">
        <x:v>2025-08-12T00:00:00.000Z</x:v>
      </x:c>
      <x:c r="C411" s="1" t="str">
        <x:v>C-065</x:v>
      </x:c>
      <x:c r="D411" s="1" t="str">
        <x:v>East</x:v>
      </x:c>
      <x:c r="E411" s="1" t="str">
        <x:v>Fashion</x:v>
      </x:c>
      <x:c r="F411" s="1" t="str">
        <x:v>Sneakers</x:v>
      </x:c>
      <x:c r="G411" s="1" t="n">
        <x:v>1</x:v>
      </x:c>
      <x:c r="H411" s="2" t="n">
        <x:v>2400</x:v>
      </x:c>
      <x:c r="I411" s="3" t="n">
        <x:v>0.05</x:v>
      </x:c>
      <x:c r="J411" s="2" t="n">
        <x:v>1200</x:v>
      </x:c>
      <x:c r="K411" s="2" t="n">
        <x:v>50</x:v>
      </x:c>
      <x:c r="L411" s="2" t="n">
        <x:f>G411*H411</x:f>
        <x:v>2400</x:v>
      </x:c>
      <x:c r="M411" s="2" t="n">
        <x:f>ROUND(L411*(1-I411),2)</x:f>
        <x:v>2280</x:v>
      </x:c>
      <x:c r="N411" s="2" t="n">
        <x:f>G411*J411</x:f>
        <x:v>1200</x:v>
      </x:c>
      <x:c r="O411" s="2" t="n">
        <x:f>M411-N411-K411</x:f>
        <x:v>1030</x:v>
      </x:c>
      <x:c r="P411" s="1" t="str">
        <x:f>TEXT(B411,"yyyy-mm")</x:f>
        <x:v>2025-08</x:v>
      </x:c>
    </x:row>
    <x:row r="412">
      <x:c r="A412" s="1" t="str">
        <x:v>ORD-0408</x:v>
      </x:c>
      <x:c r="B412" s="4" t="d">
        <x:v>2025-05-17T00:00:00.000Z</x:v>
      </x:c>
      <x:c r="C412" s="1" t="str">
        <x:v>C-033</x:v>
      </x:c>
      <x:c r="D412" s="1" t="str">
        <x:v>East</x:v>
      </x:c>
      <x:c r="E412" s="1" t="str">
        <x:v>Home</x:v>
      </x:c>
      <x:c r="F412" s="1" t="str">
        <x:v>Office chair</x:v>
      </x:c>
      <x:c r="G412" s="1" t="n">
        <x:v>1</x:v>
      </x:c>
      <x:c r="H412" s="2" t="n">
        <x:v>5500</x:v>
      </x:c>
      <x:c r="I412" s="3" t="n">
        <x:v>0.1</x:v>
      </x:c>
      <x:c r="J412" s="2" t="n">
        <x:v>4400</x:v>
      </x:c>
      <x:c r="K412" s="2" t="n">
        <x:v>80</x:v>
      </x:c>
      <x:c r="L412" s="2" t="n">
        <x:f>G412*H412</x:f>
        <x:v>5500</x:v>
      </x:c>
      <x:c r="M412" s="2" t="n">
        <x:f>ROUND(L412*(1-I412),2)</x:f>
        <x:v>4950</x:v>
      </x:c>
      <x:c r="N412" s="2" t="n">
        <x:f>G412*J412</x:f>
        <x:v>4400</x:v>
      </x:c>
      <x:c r="O412" s="2" t="n">
        <x:f>M412-N412-K412</x:f>
        <x:v>470</x:v>
      </x:c>
      <x:c r="P412" s="1" t="str">
        <x:f>TEXT(B412,"yyyy-mm")</x:f>
        <x:v>2025-05</x:v>
      </x:c>
    </x:row>
    <x:row r="413">
      <x:c r="A413" s="1" t="str">
        <x:v>ORD-0409</x:v>
      </x:c>
      <x:c r="B413" s="4" t="d">
        <x:v>2025-07-16T00:00:00.000Z</x:v>
      </x:c>
      <x:c r="C413" s="1" t="str">
        <x:v>C-291</x:v>
      </x:c>
      <x:c r="D413" s="1" t="str">
        <x:v>South</x:v>
      </x:c>
      <x:c r="E413" s="1" t="str">
        <x:v>Fashion</x:v>
      </x:c>
      <x:c r="F413" s="1" t="str">
        <x:v>Backpack</x:v>
      </x:c>
      <x:c r="G413" s="1" t="n">
        <x:v>3</x:v>
      </x:c>
      <x:c r="H413" s="2" t="n">
        <x:v>1300</x:v>
      </x:c>
      <x:c r="I413" s="3" t="n">
        <x:v>0</x:v>
      </x:c>
      <x:c r="J413" s="2" t="n">
        <x:v>650</x:v>
      </x:c>
      <x:c r="K413" s="2" t="n">
        <x:v>50</x:v>
      </x:c>
      <x:c r="L413" s="2" t="n">
        <x:f>G413*H413</x:f>
        <x:v>3900</x:v>
      </x:c>
      <x:c r="M413" s="2" t="n">
        <x:f>ROUND(L413*(1-I413),2)</x:f>
        <x:v>3900</x:v>
      </x:c>
      <x:c r="N413" s="2" t="n">
        <x:f>G413*J413</x:f>
        <x:v>1950</x:v>
      </x:c>
      <x:c r="O413" s="2" t="n">
        <x:f>M413-N413-K413</x:f>
        <x:v>1900</x:v>
      </x:c>
      <x:c r="P413" s="1" t="str">
        <x:f>TEXT(B413,"yyyy-mm")</x:f>
        <x:v>2025-07</x:v>
      </x:c>
    </x:row>
    <x:row r="414">
      <x:c r="A414" s="1" t="str">
        <x:v>ORD-0410</x:v>
      </x:c>
      <x:c r="B414" s="4" t="d">
        <x:v>2025-04-22T00:00:00.000Z</x:v>
      </x:c>
      <x:c r="C414" s="1" t="str">
        <x:v>C-060</x:v>
      </x:c>
      <x:c r="D414" s="1" t="str">
        <x:v>South</x:v>
      </x:c>
      <x:c r="E414" s="1" t="str">
        <x:v>Electronics</x:v>
      </x:c>
      <x:c r="F414" s="1" t="str">
        <x:v>Keyboard</x:v>
      </x:c>
      <x:c r="G414" s="1" t="n">
        <x:v>1</x:v>
      </x:c>
      <x:c r="H414" s="2" t="n">
        <x:v>1500</x:v>
      </x:c>
      <x:c r="I414" s="3" t="n">
        <x:v>0.25</x:v>
      </x:c>
      <x:c r="J414" s="2" t="n">
        <x:v>900</x:v>
      </x:c>
      <x:c r="K414" s="2" t="n">
        <x:v>50</x:v>
      </x:c>
      <x:c r="L414" s="2" t="n">
        <x:f>G414*H414</x:f>
        <x:v>1500</x:v>
      </x:c>
      <x:c r="M414" s="2" t="n">
        <x:f>ROUND(L414*(1-I414),2)</x:f>
        <x:v>1125</x:v>
      </x:c>
      <x:c r="N414" s="2" t="n">
        <x:f>G414*J414</x:f>
        <x:v>900</x:v>
      </x:c>
      <x:c r="O414" s="2" t="n">
        <x:f>M414-N414-K414</x:f>
        <x:v>175</x:v>
      </x:c>
      <x:c r="P414" s="1" t="str">
        <x:f>TEXT(B414,"yyyy-mm")</x:f>
        <x:v>2025-04</x:v>
      </x:c>
    </x:row>
    <x:row r="415">
      <x:c r="A415" s="1" t="str">
        <x:v>ORD-0411</x:v>
      </x:c>
      <x:c r="B415" s="4" t="d">
        <x:v>2025-11-02T00:00:00.000Z</x:v>
      </x:c>
      <x:c r="C415" s="1" t="str">
        <x:v>C-242</x:v>
      </x:c>
      <x:c r="D415" s="1" t="str">
        <x:v>East</x:v>
      </x:c>
      <x:c r="E415" s="1" t="str">
        <x:v>Electronics</x:v>
      </x:c>
      <x:c r="F415" s="1" t="str">
        <x:v>Headphones</x:v>
      </x:c>
      <x:c r="G415" s="1" t="n">
        <x:v>4</x:v>
      </x:c>
      <x:c r="H415" s="2" t="n">
        <x:v>2200</x:v>
      </x:c>
      <x:c r="I415" s="3" t="n">
        <x:v>0.05</x:v>
      </x:c>
      <x:c r="J415" s="2" t="n">
        <x:v>1450</x:v>
      </x:c>
      <x:c r="K415" s="2" t="n">
        <x:v>50</x:v>
      </x:c>
      <x:c r="L415" s="2" t="n">
        <x:f>G415*H415</x:f>
        <x:v>8800</x:v>
      </x:c>
      <x:c r="M415" s="2" t="n">
        <x:f>ROUND(L415*(1-I415),2)</x:f>
        <x:v>8360</x:v>
      </x:c>
      <x:c r="N415" s="2" t="n">
        <x:f>G415*J415</x:f>
        <x:v>5800</x:v>
      </x:c>
      <x:c r="O415" s="2" t="n">
        <x:f>M415-N415-K415</x:f>
        <x:v>2510</x:v>
      </x:c>
      <x:c r="P415" s="1" t="str">
        <x:f>TEXT(B415,"yyyy-mm")</x:f>
        <x:v>2025-11</x:v>
      </x:c>
    </x:row>
    <x:row r="416">
      <x:c r="A416" s="1" t="str">
        <x:v>ORD-0412</x:v>
      </x:c>
      <x:c r="B416" s="4" t="d">
        <x:v>2025-03-26T00:00:00.000Z</x:v>
      </x:c>
      <x:c r="C416" s="1" t="str">
        <x:v>C-215</x:v>
      </x:c>
      <x:c r="D416" s="1" t="str">
        <x:v>South</x:v>
      </x:c>
      <x:c r="E416" s="1" t="str">
        <x:v>Electronics</x:v>
      </x:c>
      <x:c r="F416" s="1" t="str">
        <x:v>Headphones</x:v>
      </x:c>
      <x:c r="G416" s="1" t="n">
        <x:v>3</x:v>
      </x:c>
      <x:c r="H416" s="2" t="n">
        <x:v>2200</x:v>
      </x:c>
      <x:c r="I416" s="3" t="n">
        <x:v>0.25</x:v>
      </x:c>
      <x:c r="J416" s="2" t="n">
        <x:v>1450</x:v>
      </x:c>
      <x:c r="K416" s="2" t="n">
        <x:v>50</x:v>
      </x:c>
      <x:c r="L416" s="2" t="n">
        <x:f>G416*H416</x:f>
        <x:v>6600</x:v>
      </x:c>
      <x:c r="M416" s="2" t="n">
        <x:f>ROUND(L416*(1-I416),2)</x:f>
        <x:v>4950</x:v>
      </x:c>
      <x:c r="N416" s="2" t="n">
        <x:f>G416*J416</x:f>
        <x:v>4350</x:v>
      </x:c>
      <x:c r="O416" s="2" t="n">
        <x:f>M416-N416-K416</x:f>
        <x:v>550</x:v>
      </x:c>
      <x:c r="P416" s="1" t="str">
        <x:f>TEXT(B416,"yyyy-mm")</x:f>
        <x:v>2025-03</x:v>
      </x:c>
    </x:row>
    <x:row r="417">
      <x:c r="A417" s="1" t="str">
        <x:v>ORD-0413</x:v>
      </x:c>
      <x:c r="B417" s="4" t="d">
        <x:v>2025-07-27T00:00:00.000Z</x:v>
      </x:c>
      <x:c r="C417" s="1" t="str">
        <x:v>C-040</x:v>
      </x:c>
      <x:c r="D417" s="1" t="str">
        <x:v>East</x:v>
      </x:c>
      <x:c r="E417" s="1" t="str">
        <x:v>Fashion</x:v>
      </x:c>
      <x:c r="F417" s="1" t="str">
        <x:v>Backpack</x:v>
      </x:c>
      <x:c r="G417" s="1" t="n">
        <x:v>1</x:v>
      </x:c>
      <x:c r="H417" s="2" t="n">
        <x:v>1300</x:v>
      </x:c>
      <x:c r="I417" s="3" t="n">
        <x:v>0.1</x:v>
      </x:c>
      <x:c r="J417" s="2" t="n">
        <x:v>650</x:v>
      </x:c>
      <x:c r="K417" s="2" t="n">
        <x:v>120</x:v>
      </x:c>
      <x:c r="L417" s="2" t="n">
        <x:f>G417*H417</x:f>
        <x:v>1300</x:v>
      </x:c>
      <x:c r="M417" s="2" t="n">
        <x:f>ROUND(L417*(1-I417),2)</x:f>
        <x:v>1170</x:v>
      </x:c>
      <x:c r="N417" s="2" t="n">
        <x:f>G417*J417</x:f>
        <x:v>650</x:v>
      </x:c>
      <x:c r="O417" s="2" t="n">
        <x:f>M417-N417-K417</x:f>
        <x:v>400</x:v>
      </x:c>
      <x:c r="P417" s="1" t="str">
        <x:f>TEXT(B417,"yyyy-mm")</x:f>
        <x:v>2025-07</x:v>
      </x:c>
    </x:row>
    <x:row r="418">
      <x:c r="A418" s="1" t="str">
        <x:v>ORD-0414</x:v>
      </x:c>
      <x:c r="B418" s="4" t="d">
        <x:v>2025-10-08T00:00:00.000Z</x:v>
      </x:c>
      <x:c r="C418" s="1" t="str">
        <x:v>C-265</x:v>
      </x:c>
      <x:c r="D418" s="1" t="str">
        <x:v>North</x:v>
      </x:c>
      <x:c r="E418" s="1" t="str">
        <x:v>Electronics</x:v>
      </x:c>
      <x:c r="F418" s="1" t="str">
        <x:v>Headphones</x:v>
      </x:c>
      <x:c r="G418" s="1" t="n">
        <x:v>4</x:v>
      </x:c>
      <x:c r="H418" s="2" t="n">
        <x:v>2200</x:v>
      </x:c>
      <x:c r="I418" s="3" t="n">
        <x:v>0.05</x:v>
      </x:c>
      <x:c r="J418" s="2" t="n">
        <x:v>1450</x:v>
      </x:c>
      <x:c r="K418" s="2" t="n">
        <x:v>50</x:v>
      </x:c>
      <x:c r="L418" s="2" t="n">
        <x:f>G418*H418</x:f>
        <x:v>8800</x:v>
      </x:c>
      <x:c r="M418" s="2" t="n">
        <x:f>ROUND(L418*(1-I418),2)</x:f>
        <x:v>8360</x:v>
      </x:c>
      <x:c r="N418" s="2" t="n">
        <x:f>G418*J418</x:f>
        <x:v>5800</x:v>
      </x:c>
      <x:c r="O418" s="2" t="n">
        <x:f>M418-N418-K418</x:f>
        <x:v>2510</x:v>
      </x:c>
      <x:c r="P418" s="1" t="str">
        <x:f>TEXT(B418,"yyyy-mm")</x:f>
        <x:v>2025-10</x:v>
      </x:c>
    </x:row>
    <x:row r="419">
      <x:c r="A419" s="1" t="str">
        <x:v>ORD-0415</x:v>
      </x:c>
      <x:c r="B419" s="4" t="d">
        <x:v>2025-11-11T00:00:00.000Z</x:v>
      </x:c>
      <x:c r="C419" s="1" t="str">
        <x:v>C-045</x:v>
      </x:c>
      <x:c r="D419" s="1" t="str">
        <x:v>West</x:v>
      </x:c>
      <x:c r="E419" s="1" t="str">
        <x:v>Fashion</x:v>
      </x:c>
      <x:c r="F419" s="1" t="str">
        <x:v>Sneakers</x:v>
      </x:c>
      <x:c r="G419" s="1" t="n">
        <x:v>1</x:v>
      </x:c>
      <x:c r="H419" s="2" t="n">
        <x:v>2400</x:v>
      </x:c>
      <x:c r="I419" s="3" t="n">
        <x:v>0.1</x:v>
      </x:c>
      <x:c r="J419" s="2" t="n">
        <x:v>1200</x:v>
      </x:c>
      <x:c r="K419" s="2" t="n">
        <x:v>80</x:v>
      </x:c>
      <x:c r="L419" s="2" t="n">
        <x:f>G419*H419</x:f>
        <x:v>2400</x:v>
      </x:c>
      <x:c r="M419" s="2" t="n">
        <x:f>ROUND(L419*(1-I419),2)</x:f>
        <x:v>2160</x:v>
      </x:c>
      <x:c r="N419" s="2" t="n">
        <x:f>G419*J419</x:f>
        <x:v>1200</x:v>
      </x:c>
      <x:c r="O419" s="2" t="n">
        <x:f>M419-N419-K419</x:f>
        <x:v>880</x:v>
      </x:c>
      <x:c r="P419" s="1" t="str">
        <x:f>TEXT(B419,"yyyy-mm")</x:f>
        <x:v>2025-11</x:v>
      </x:c>
    </x:row>
    <x:row r="420">
      <x:c r="A420" s="1" t="str">
        <x:v>ORD-0416</x:v>
      </x:c>
      <x:c r="B420" s="4" t="d">
        <x:v>2025-04-20T00:00:00.000Z</x:v>
      </x:c>
      <x:c r="C420" s="1" t="str">
        <x:v>C-125</x:v>
      </x:c>
      <x:c r="D420" s="1" t="str">
        <x:v>West</x:v>
      </x:c>
      <x:c r="E420" s="1" t="str">
        <x:v>Fashion</x:v>
      </x:c>
      <x:c r="F420" s="1" t="str">
        <x:v>Sneakers</x:v>
      </x:c>
      <x:c r="G420" s="1" t="n">
        <x:v>3</x:v>
      </x:c>
      <x:c r="H420" s="2" t="n">
        <x:v>2400</x:v>
      </x:c>
      <x:c r="I420" s="3" t="n">
        <x:v>0.35</x:v>
      </x:c>
      <x:c r="J420" s="2" t="n">
        <x:v>1200</x:v>
      </x:c>
      <x:c r="K420" s="2" t="n">
        <x:v>120</x:v>
      </x:c>
      <x:c r="L420" s="2" t="n">
        <x:f>G420*H420</x:f>
        <x:v>7200</x:v>
      </x:c>
      <x:c r="M420" s="2" t="n">
        <x:f>ROUND(L420*(1-I420),2)</x:f>
        <x:v>4680</x:v>
      </x:c>
      <x:c r="N420" s="2" t="n">
        <x:f>G420*J420</x:f>
        <x:v>3600</x:v>
      </x:c>
      <x:c r="O420" s="2" t="n">
        <x:f>M420-N420-K420</x:f>
        <x:v>960</x:v>
      </x:c>
      <x:c r="P420" s="1" t="str">
        <x:f>TEXT(B420,"yyyy-mm")</x:f>
        <x:v>2025-04</x:v>
      </x:c>
    </x:row>
    <x:row r="421">
      <x:c r="A421" s="1" t="str">
        <x:v>ORD-0417</x:v>
      </x:c>
      <x:c r="B421" s="4" t="d">
        <x:v>2025-12-29T00:00:00.000Z</x:v>
      </x:c>
      <x:c r="C421" s="1" t="str">
        <x:v>C-280</x:v>
      </x:c>
      <x:c r="D421" s="1" t="str">
        <x:v>South</x:v>
      </x:c>
      <x:c r="E421" s="1" t="str">
        <x:v>Fashion</x:v>
      </x:c>
      <x:c r="F421" s="1" t="str">
        <x:v>T-shirt</x:v>
      </x:c>
      <x:c r="G421" s="1" t="n">
        <x:v>2</x:v>
      </x:c>
      <x:c r="H421" s="2" t="n">
        <x:v>700</x:v>
      </x:c>
      <x:c r="I421" s="3" t="n">
        <x:v>0.35</x:v>
      </x:c>
      <x:c r="J421" s="2" t="n">
        <x:v>300</x:v>
      </x:c>
      <x:c r="K421" s="2" t="n">
        <x:v>50</x:v>
      </x:c>
      <x:c r="L421" s="2" t="n">
        <x:f>G421*H421</x:f>
        <x:v>1400</x:v>
      </x:c>
      <x:c r="M421" s="2" t="n">
        <x:f>ROUND(L421*(1-I421),2)</x:f>
        <x:v>910</x:v>
      </x:c>
      <x:c r="N421" s="2" t="n">
        <x:f>G421*J421</x:f>
        <x:v>600</x:v>
      </x:c>
      <x:c r="O421" s="2" t="n">
        <x:f>M421-N421-K421</x:f>
        <x:v>260</x:v>
      </x:c>
      <x:c r="P421" s="1" t="str">
        <x:f>TEXT(B421,"yyyy-mm")</x:f>
        <x:v>2025-12</x:v>
      </x:c>
    </x:row>
    <x:row r="422">
      <x:c r="A422" s="1" t="str">
        <x:v>ORD-0418</x:v>
      </x:c>
      <x:c r="B422" s="4" t="d">
        <x:v>2025-12-18T00:00:00.000Z</x:v>
      </x:c>
      <x:c r="C422" s="1" t="str">
        <x:v>C-178</x:v>
      </x:c>
      <x:c r="D422" s="1" t="str">
        <x:v>North</x:v>
      </x:c>
      <x:c r="E422" s="1" t="str">
        <x:v>Electronics</x:v>
      </x:c>
      <x:c r="F422" s="1" t="str">
        <x:v>Headphones</x:v>
      </x:c>
      <x:c r="G422" s="1" t="n">
        <x:v>3</x:v>
      </x:c>
      <x:c r="H422" s="2" t="n">
        <x:v>2200</x:v>
      </x:c>
      <x:c r="I422" s="3" t="n">
        <x:v>0.05</x:v>
      </x:c>
      <x:c r="J422" s="2" t="n">
        <x:v>1450</x:v>
      </x:c>
      <x:c r="K422" s="2" t="n">
        <x:v>50</x:v>
      </x:c>
      <x:c r="L422" s="2" t="n">
        <x:f>G422*H422</x:f>
        <x:v>6600</x:v>
      </x:c>
      <x:c r="M422" s="2" t="n">
        <x:f>ROUND(L422*(1-I422),2)</x:f>
        <x:v>6270</x:v>
      </x:c>
      <x:c r="N422" s="2" t="n">
        <x:f>G422*J422</x:f>
        <x:v>4350</x:v>
      </x:c>
      <x:c r="O422" s="2" t="n">
        <x:f>M422-N422-K422</x:f>
        <x:v>1870</x:v>
      </x:c>
      <x:c r="P422" s="1" t="str">
        <x:f>TEXT(B422,"yyyy-mm")</x:f>
        <x:v>2025-12</x:v>
      </x:c>
    </x:row>
    <x:row r="423">
      <x:c r="A423" s="1" t="str">
        <x:v>ORD-0419</x:v>
      </x:c>
      <x:c r="B423" s="4" t="d">
        <x:v>2025-10-24T00:00:00.000Z</x:v>
      </x:c>
      <x:c r="C423" s="1" t="str">
        <x:v>C-158</x:v>
      </x:c>
      <x:c r="D423" s="1" t="str">
        <x:v>North</x:v>
      </x:c>
      <x:c r="E423" s="1" t="str">
        <x:v>Home</x:v>
      </x:c>
      <x:c r="F423" s="1" t="str">
        <x:v>Office chair</x:v>
      </x:c>
      <x:c r="G423" s="1" t="n">
        <x:v>2</x:v>
      </x:c>
      <x:c r="H423" s="2" t="n">
        <x:v>5500</x:v>
      </x:c>
      <x:c r="I423" s="3" t="n">
        <x:v>0.35</x:v>
      </x:c>
      <x:c r="J423" s="2" t="n">
        <x:v>4400</x:v>
      </x:c>
      <x:c r="K423" s="2" t="n">
        <x:v>120</x:v>
      </x:c>
      <x:c r="L423" s="2" t="n">
        <x:f>G423*H423</x:f>
        <x:v>11000</x:v>
      </x:c>
      <x:c r="M423" s="2" t="n">
        <x:f>ROUND(L423*(1-I423),2)</x:f>
        <x:v>7150</x:v>
      </x:c>
      <x:c r="N423" s="2" t="n">
        <x:f>G423*J423</x:f>
        <x:v>8800</x:v>
      </x:c>
      <x:c r="O423" s="2" t="n">
        <x:f>M423-N423-K423</x:f>
        <x:v>-1770</x:v>
      </x:c>
      <x:c r="P423" s="1" t="str">
        <x:f>TEXT(B423,"yyyy-mm")</x:f>
        <x:v>2025-10</x:v>
      </x:c>
    </x:row>
    <x:row r="424">
      <x:c r="A424" s="1" t="str">
        <x:v>ORD-0420</x:v>
      </x:c>
      <x:c r="B424" s="4" t="d">
        <x:v>2025-12-31T00:00:00.000Z</x:v>
      </x:c>
      <x:c r="C424" s="1" t="str">
        <x:v>C-031</x:v>
      </x:c>
      <x:c r="D424" s="1" t="str">
        <x:v>South</x:v>
      </x:c>
      <x:c r="E424" s="1" t="str">
        <x:v>Home</x:v>
      </x:c>
      <x:c r="F424" s="1" t="str">
        <x:v>Office chair</x:v>
      </x:c>
      <x:c r="G424" s="1" t="n">
        <x:v>3</x:v>
      </x:c>
      <x:c r="H424" s="2" t="n">
        <x:v>5500</x:v>
      </x:c>
      <x:c r="I424" s="3" t="n">
        <x:v>0.15</x:v>
      </x:c>
      <x:c r="J424" s="2" t="n">
        <x:v>4400</x:v>
      </x:c>
      <x:c r="K424" s="2" t="n">
        <x:v>50</x:v>
      </x:c>
      <x:c r="L424" s="2" t="n">
        <x:f>G424*H424</x:f>
        <x:v>16500</x:v>
      </x:c>
      <x:c r="M424" s="2" t="n">
        <x:f>ROUND(L424*(1-I424),2)</x:f>
        <x:v>14025</x:v>
      </x:c>
      <x:c r="N424" s="2" t="n">
        <x:f>G424*J424</x:f>
        <x:v>13200</x:v>
      </x:c>
      <x:c r="O424" s="2" t="n">
        <x:f>M424-N424-K424</x:f>
        <x:v>775</x:v>
      </x:c>
      <x:c r="P424" s="1" t="str">
        <x:f>TEXT(B424,"yyyy-mm")</x:f>
        <x:v>2025-12</x:v>
      </x:c>
    </x:row>
    <x:row r="425">
      <x:c r="A425" s="1" t="str">
        <x:v>ORD-0421</x:v>
      </x:c>
      <x:c r="B425" s="4" t="d">
        <x:v>2025-01-14T00:00:00.000Z</x:v>
      </x:c>
      <x:c r="C425" s="1" t="str">
        <x:v>C-191</x:v>
      </x:c>
      <x:c r="D425" s="1" t="str">
        <x:v>West</x:v>
      </x:c>
      <x:c r="E425" s="1" t="str">
        <x:v>Fashion</x:v>
      </x:c>
      <x:c r="F425" s="1" t="str">
        <x:v>T-shirt</x:v>
      </x:c>
      <x:c r="G425" s="1" t="n">
        <x:v>1</x:v>
      </x:c>
      <x:c r="H425" s="2" t="n">
        <x:v>700</x:v>
      </x:c>
      <x:c r="I425" s="3" t="n">
        <x:v>0.25</x:v>
      </x:c>
      <x:c r="J425" s="2" t="n">
        <x:v>300</x:v>
      </x:c>
      <x:c r="K425" s="2" t="n">
        <x:v>120</x:v>
      </x:c>
      <x:c r="L425" s="2" t="n">
        <x:f>G425*H425</x:f>
        <x:v>700</x:v>
      </x:c>
      <x:c r="M425" s="2" t="n">
        <x:f>ROUND(L425*(1-I425),2)</x:f>
        <x:v>525</x:v>
      </x:c>
      <x:c r="N425" s="2" t="n">
        <x:f>G425*J425</x:f>
        <x:v>300</x:v>
      </x:c>
      <x:c r="O425" s="2" t="n">
        <x:f>M425-N425-K425</x:f>
        <x:v>105</x:v>
      </x:c>
      <x:c r="P425" s="1" t="str">
        <x:f>TEXT(B425,"yyyy-mm")</x:f>
        <x:v>2025-01</x:v>
      </x:c>
    </x:row>
    <x:row r="426">
      <x:c r="A426" s="1" t="str">
        <x:v>ORD-0422</x:v>
      </x:c>
      <x:c r="B426" s="4" t="d">
        <x:v>2025-02-27T00:00:00.000Z</x:v>
      </x:c>
      <x:c r="C426" s="1" t="str">
        <x:v>C-202</x:v>
      </x:c>
      <x:c r="D426" s="1" t="str">
        <x:v>North</x:v>
      </x:c>
      <x:c r="E426" s="1" t="str">
        <x:v>Electronics</x:v>
      </x:c>
      <x:c r="F426" s="1" t="str">
        <x:v>Smartwatch</x:v>
      </x:c>
      <x:c r="G426" s="1" t="n">
        <x:v>1</x:v>
      </x:c>
      <x:c r="H426" s="2" t="n">
        <x:v>4200</x:v>
      </x:c>
      <x:c r="I426" s="3" t="n">
        <x:v>0.35</x:v>
      </x:c>
      <x:c r="J426" s="2" t="n">
        <x:v>3000</x:v>
      </x:c>
      <x:c r="K426" s="2" t="n">
        <x:v>80</x:v>
      </x:c>
      <x:c r="L426" s="2" t="n">
        <x:f>G426*H426</x:f>
        <x:v>4200</x:v>
      </x:c>
      <x:c r="M426" s="2" t="n">
        <x:f>ROUND(L426*(1-I426),2)</x:f>
        <x:v>2730</x:v>
      </x:c>
      <x:c r="N426" s="2" t="n">
        <x:f>G426*J426</x:f>
        <x:v>3000</x:v>
      </x:c>
      <x:c r="O426" s="2" t="n">
        <x:f>M426-N426-K426</x:f>
        <x:v>-350</x:v>
      </x:c>
      <x:c r="P426" s="1" t="str">
        <x:f>TEXT(B426,"yyyy-mm")</x:f>
        <x:v>2025-02</x:v>
      </x:c>
    </x:row>
    <x:row r="427">
      <x:c r="A427" s="1" t="str">
        <x:v>ORD-0423</x:v>
      </x:c>
      <x:c r="B427" s="4" t="d">
        <x:v>2025-10-10T00:00:00.000Z</x:v>
      </x:c>
      <x:c r="C427" s="1" t="str">
        <x:v>C-134</x:v>
      </x:c>
      <x:c r="D427" s="1" t="str">
        <x:v>East</x:v>
      </x:c>
      <x:c r="E427" s="1" t="str">
        <x:v>Electronics</x:v>
      </x:c>
      <x:c r="F427" s="1" t="str">
        <x:v>Smartwatch</x:v>
      </x:c>
      <x:c r="G427" s="1" t="n">
        <x:v>4</x:v>
      </x:c>
      <x:c r="H427" s="2" t="n">
        <x:v>4200</x:v>
      </x:c>
      <x:c r="I427" s="3" t="n">
        <x:v>0.05</x:v>
      </x:c>
      <x:c r="J427" s="2" t="n">
        <x:v>3000</x:v>
      </x:c>
      <x:c r="K427" s="2" t="n">
        <x:v>120</x:v>
      </x:c>
      <x:c r="L427" s="2" t="n">
        <x:f>G427*H427</x:f>
        <x:v>16800</x:v>
      </x:c>
      <x:c r="M427" s="2" t="n">
        <x:f>ROUND(L427*(1-I427),2)</x:f>
        <x:v>15960</x:v>
      </x:c>
      <x:c r="N427" s="2" t="n">
        <x:f>G427*J427</x:f>
        <x:v>12000</x:v>
      </x:c>
      <x:c r="O427" s="2" t="n">
        <x:f>M427-N427-K427</x:f>
        <x:v>3840</x:v>
      </x:c>
      <x:c r="P427" s="1" t="str">
        <x:f>TEXT(B427,"yyyy-mm")</x:f>
        <x:v>2025-10</x:v>
      </x:c>
    </x:row>
    <x:row r="428">
      <x:c r="A428" s="1" t="str">
        <x:v>ORD-0424</x:v>
      </x:c>
      <x:c r="B428" s="4" t="d">
        <x:v>2025-11-15T00:00:00.000Z</x:v>
      </x:c>
      <x:c r="C428" s="1" t="str">
        <x:v>C-140</x:v>
      </x:c>
      <x:c r="D428" s="1" t="str">
        <x:v>South</x:v>
      </x:c>
      <x:c r="E428" s="1" t="str">
        <x:v>Fashion</x:v>
      </x:c>
      <x:c r="F428" s="1" t="str">
        <x:v>Backpack</x:v>
      </x:c>
      <x:c r="G428" s="1" t="n">
        <x:v>1</x:v>
      </x:c>
      <x:c r="H428" s="2" t="n">
        <x:v>1300</x:v>
      </x:c>
      <x:c r="I428" s="3" t="n">
        <x:v>0.1</x:v>
      </x:c>
      <x:c r="J428" s="2" t="n">
        <x:v>650</x:v>
      </x:c>
      <x:c r="K428" s="2" t="n">
        <x:v>50</x:v>
      </x:c>
      <x:c r="L428" s="2" t="n">
        <x:f>G428*H428</x:f>
        <x:v>1300</x:v>
      </x:c>
      <x:c r="M428" s="2" t="n">
        <x:f>ROUND(L428*(1-I428),2)</x:f>
        <x:v>1170</x:v>
      </x:c>
      <x:c r="N428" s="2" t="n">
        <x:f>G428*J428</x:f>
        <x:v>650</x:v>
      </x:c>
      <x:c r="O428" s="2" t="n">
        <x:f>M428-N428-K428</x:f>
        <x:v>470</x:v>
      </x:c>
      <x:c r="P428" s="1" t="str">
        <x:f>TEXT(B428,"yyyy-mm")</x:f>
        <x:v>2025-11</x:v>
      </x:c>
    </x:row>
    <x:row r="429">
      <x:c r="A429" s="1" t="str">
        <x:v>ORD-0425</x:v>
      </x:c>
      <x:c r="B429" s="4" t="d">
        <x:v>2025-03-04T00:00:00.000Z</x:v>
      </x:c>
      <x:c r="C429" s="1" t="str">
        <x:v>C-085</x:v>
      </x:c>
      <x:c r="D429" s="1" t="str">
        <x:v>West</x:v>
      </x:c>
      <x:c r="E429" s="1" t="str">
        <x:v>Electronics</x:v>
      </x:c>
      <x:c r="F429" s="1" t="str">
        <x:v>Keyboard</x:v>
      </x:c>
      <x:c r="G429" s="1" t="n">
        <x:v>4</x:v>
      </x:c>
      <x:c r="H429" s="2" t="n">
        <x:v>1500</x:v>
      </x:c>
      <x:c r="I429" s="3" t="n">
        <x:v>0.05</x:v>
      </x:c>
      <x:c r="J429" s="2" t="n">
        <x:v>900</x:v>
      </x:c>
      <x:c r="K429" s="2" t="n">
        <x:v>80</x:v>
      </x:c>
      <x:c r="L429" s="2" t="n">
        <x:f>G429*H429</x:f>
        <x:v>6000</x:v>
      </x:c>
      <x:c r="M429" s="2" t="n">
        <x:f>ROUND(L429*(1-I429),2)</x:f>
        <x:v>5700</x:v>
      </x:c>
      <x:c r="N429" s="2" t="n">
        <x:f>G429*J429</x:f>
        <x:v>3600</x:v>
      </x:c>
      <x:c r="O429" s="2" t="n">
        <x:f>M429-N429-K429</x:f>
        <x:v>2020</x:v>
      </x:c>
      <x:c r="P429" s="1" t="str">
        <x:f>TEXT(B429,"yyyy-mm")</x:f>
        <x:v>2025-03</x:v>
      </x:c>
    </x:row>
    <x:row r="430">
      <x:c r="A430" s="1" t="str">
        <x:v>ORD-0426</x:v>
      </x:c>
      <x:c r="B430" s="4" t="d">
        <x:v>2025-06-25T00:00:00.000Z</x:v>
      </x:c>
      <x:c r="C430" s="1" t="str">
        <x:v>C-107</x:v>
      </x:c>
      <x:c r="D430" s="1" t="str">
        <x:v>West</x:v>
      </x:c>
      <x:c r="E430" s="1" t="str">
        <x:v>Home</x:v>
      </x:c>
      <x:c r="F430" s="1" t="str">
        <x:v>Storage box</x:v>
      </x:c>
      <x:c r="G430" s="1" t="n">
        <x:v>3</x:v>
      </x:c>
      <x:c r="H430" s="2" t="n">
        <x:v>800</x:v>
      </x:c>
      <x:c r="I430" s="3" t="n">
        <x:v>0.1</x:v>
      </x:c>
      <x:c r="J430" s="2" t="n">
        <x:v>420</x:v>
      </x:c>
      <x:c r="K430" s="2" t="n">
        <x:v>80</x:v>
      </x:c>
      <x:c r="L430" s="2" t="n">
        <x:f>G430*H430</x:f>
        <x:v>2400</x:v>
      </x:c>
      <x:c r="M430" s="2" t="n">
        <x:f>ROUND(L430*(1-I430),2)</x:f>
        <x:v>2160</x:v>
      </x:c>
      <x:c r="N430" s="2" t="n">
        <x:f>G430*J430</x:f>
        <x:v>1260</x:v>
      </x:c>
      <x:c r="O430" s="2" t="n">
        <x:f>M430-N430-K430</x:f>
        <x:v>820</x:v>
      </x:c>
      <x:c r="P430" s="1" t="str">
        <x:f>TEXT(B430,"yyyy-mm")</x:f>
        <x:v>2025-06</x:v>
      </x:c>
    </x:row>
    <x:row r="431">
      <x:c r="A431" s="1" t="str">
        <x:v>ORD-0427</x:v>
      </x:c>
      <x:c r="B431" s="4" t="d">
        <x:v>2025-04-06T00:00:00.000Z</x:v>
      </x:c>
      <x:c r="C431" s="1" t="str">
        <x:v>C-156</x:v>
      </x:c>
      <x:c r="D431" s="1" t="str">
        <x:v>North</x:v>
      </x:c>
      <x:c r="E431" s="1" t="str">
        <x:v>Electronics</x:v>
      </x:c>
      <x:c r="F431" s="1" t="str">
        <x:v>Keyboard</x:v>
      </x:c>
      <x:c r="G431" s="1" t="n">
        <x:v>2</x:v>
      </x:c>
      <x:c r="H431" s="2" t="n">
        <x:v>1500</x:v>
      </x:c>
      <x:c r="I431" s="3" t="n">
        <x:v>0</x:v>
      </x:c>
      <x:c r="J431" s="2" t="n">
        <x:v>900</x:v>
      </x:c>
      <x:c r="K431" s="2" t="n">
        <x:v>80</x:v>
      </x:c>
      <x:c r="L431" s="2" t="n">
        <x:f>G431*H431</x:f>
        <x:v>3000</x:v>
      </x:c>
      <x:c r="M431" s="2" t="n">
        <x:f>ROUND(L431*(1-I431),2)</x:f>
        <x:v>3000</x:v>
      </x:c>
      <x:c r="N431" s="2" t="n">
        <x:f>G431*J431</x:f>
        <x:v>1800</x:v>
      </x:c>
      <x:c r="O431" s="2" t="n">
        <x:f>M431-N431-K431</x:f>
        <x:v>1120</x:v>
      </x:c>
      <x:c r="P431" s="1" t="str">
        <x:f>TEXT(B431,"yyyy-mm")</x:f>
        <x:v>2025-04</x:v>
      </x:c>
    </x:row>
    <x:row r="432">
      <x:c r="A432" s="1" t="str">
        <x:v>ORD-0428</x:v>
      </x:c>
      <x:c r="B432" s="4" t="d">
        <x:v>2025-03-13T00:00:00.000Z</x:v>
      </x:c>
      <x:c r="C432" s="1" t="str">
        <x:v>C-263</x:v>
      </x:c>
      <x:c r="D432" s="1" t="str">
        <x:v>North</x:v>
      </x:c>
      <x:c r="E432" s="1" t="str">
        <x:v>Fashion</x:v>
      </x:c>
      <x:c r="F432" s="1" t="str">
        <x:v>T-shirt</x:v>
      </x:c>
      <x:c r="G432" s="1" t="n">
        <x:v>3</x:v>
      </x:c>
      <x:c r="H432" s="2" t="n">
        <x:v>700</x:v>
      </x:c>
      <x:c r="I432" s="3" t="n">
        <x:v>0.1</x:v>
      </x:c>
      <x:c r="J432" s="2" t="n">
        <x:v>300</x:v>
      </x:c>
      <x:c r="K432" s="2" t="n">
        <x:v>80</x:v>
      </x:c>
      <x:c r="L432" s="2" t="n">
        <x:f>G432*H432</x:f>
        <x:v>2100</x:v>
      </x:c>
      <x:c r="M432" s="2" t="n">
        <x:f>ROUND(L432*(1-I432),2)</x:f>
        <x:v>1890</x:v>
      </x:c>
      <x:c r="N432" s="2" t="n">
        <x:f>G432*J432</x:f>
        <x:v>900</x:v>
      </x:c>
      <x:c r="O432" s="2" t="n">
        <x:f>M432-N432-K432</x:f>
        <x:v>910</x:v>
      </x:c>
      <x:c r="P432" s="1" t="str">
        <x:f>TEXT(B432,"yyyy-mm")</x:f>
        <x:v>2025-03</x:v>
      </x:c>
    </x:row>
    <x:row r="433">
      <x:c r="A433" s="1" t="str">
        <x:v>ORD-0429</x:v>
      </x:c>
      <x:c r="B433" s="4" t="d">
        <x:v>2025-11-13T00:00:00.000Z</x:v>
      </x:c>
      <x:c r="C433" s="1" t="str">
        <x:v>C-232</x:v>
      </x:c>
      <x:c r="D433" s="1" t="str">
        <x:v>South</x:v>
      </x:c>
      <x:c r="E433" s="1" t="str">
        <x:v>Electronics</x:v>
      </x:c>
      <x:c r="F433" s="1" t="str">
        <x:v>Smartwatch</x:v>
      </x:c>
      <x:c r="G433" s="1" t="n">
        <x:v>1</x:v>
      </x:c>
      <x:c r="H433" s="2" t="n">
        <x:v>4200</x:v>
      </x:c>
      <x:c r="I433" s="3" t="n">
        <x:v>0</x:v>
      </x:c>
      <x:c r="J433" s="2" t="n">
        <x:v>3000</x:v>
      </x:c>
      <x:c r="K433" s="2" t="n">
        <x:v>80</x:v>
      </x:c>
      <x:c r="L433" s="2" t="n">
        <x:f>G433*H433</x:f>
        <x:v>4200</x:v>
      </x:c>
      <x:c r="M433" s="2" t="n">
        <x:f>ROUND(L433*(1-I433),2)</x:f>
        <x:v>4200</x:v>
      </x:c>
      <x:c r="N433" s="2" t="n">
        <x:f>G433*J433</x:f>
        <x:v>3000</x:v>
      </x:c>
      <x:c r="O433" s="2" t="n">
        <x:f>M433-N433-K433</x:f>
        <x:v>1120</x:v>
      </x:c>
      <x:c r="P433" s="1" t="str">
        <x:f>TEXT(B433,"yyyy-mm")</x:f>
        <x:v>2025-11</x:v>
      </x:c>
    </x:row>
    <x:row r="434">
      <x:c r="A434" s="1" t="str">
        <x:v>ORD-0430</x:v>
      </x:c>
      <x:c r="B434" s="4" t="d">
        <x:v>2025-02-01T00:00:00.000Z</x:v>
      </x:c>
      <x:c r="C434" s="1" t="str">
        <x:v>C-032</x:v>
      </x:c>
      <x:c r="D434" s="1" t="str">
        <x:v>South</x:v>
      </x:c>
      <x:c r="E434" s="1" t="str">
        <x:v>Electronics</x:v>
      </x:c>
      <x:c r="F434" s="1" t="str">
        <x:v>Smartwatch</x:v>
      </x:c>
      <x:c r="G434" s="1" t="n">
        <x:v>2</x:v>
      </x:c>
      <x:c r="H434" s="2" t="n">
        <x:v>4200</x:v>
      </x:c>
      <x:c r="I434" s="3" t="n">
        <x:v>0</x:v>
      </x:c>
      <x:c r="J434" s="2" t="n">
        <x:v>3000</x:v>
      </x:c>
      <x:c r="K434" s="2" t="n">
        <x:v>50</x:v>
      </x:c>
      <x:c r="L434" s="2" t="n">
        <x:f>G434*H434</x:f>
        <x:v>8400</x:v>
      </x:c>
      <x:c r="M434" s="2" t="n">
        <x:f>ROUND(L434*(1-I434),2)</x:f>
        <x:v>8400</x:v>
      </x:c>
      <x:c r="N434" s="2" t="n">
        <x:f>G434*J434</x:f>
        <x:v>6000</x:v>
      </x:c>
      <x:c r="O434" s="2" t="n">
        <x:f>M434-N434-K434</x:f>
        <x:v>2350</x:v>
      </x:c>
      <x:c r="P434" s="1" t="str">
        <x:f>TEXT(B434,"yyyy-mm")</x:f>
        <x:v>2025-02</x:v>
      </x:c>
    </x:row>
    <x:row r="435">
      <x:c r="A435" s="1" t="str">
        <x:v>ORD-0431</x:v>
      </x:c>
      <x:c r="B435" s="4" t="d">
        <x:v>2025-11-21T00:00:00.000Z</x:v>
      </x:c>
      <x:c r="C435" s="1" t="str">
        <x:v>C-044</x:v>
      </x:c>
      <x:c r="D435" s="1" t="str">
        <x:v>East</x:v>
      </x:c>
      <x:c r="E435" s="1" t="str">
        <x:v>Fashion</x:v>
      </x:c>
      <x:c r="F435" s="1" t="str">
        <x:v>Backpack</x:v>
      </x:c>
      <x:c r="G435" s="1" t="n">
        <x:v>1</x:v>
      </x:c>
      <x:c r="H435" s="2" t="n">
        <x:v>1300</x:v>
      </x:c>
      <x:c r="I435" s="3" t="n">
        <x:v>0.35</x:v>
      </x:c>
      <x:c r="J435" s="2" t="n">
        <x:v>650</x:v>
      </x:c>
      <x:c r="K435" s="2" t="n">
        <x:v>50</x:v>
      </x:c>
      <x:c r="L435" s="2" t="n">
        <x:f>G435*H435</x:f>
        <x:v>1300</x:v>
      </x:c>
      <x:c r="M435" s="2" t="n">
        <x:f>ROUND(L435*(1-I435),2)</x:f>
        <x:v>845</x:v>
      </x:c>
      <x:c r="N435" s="2" t="n">
        <x:f>G435*J435</x:f>
        <x:v>650</x:v>
      </x:c>
      <x:c r="O435" s="2" t="n">
        <x:f>M435-N435-K435</x:f>
        <x:v>145</x:v>
      </x:c>
      <x:c r="P435" s="1" t="str">
        <x:f>TEXT(B435,"yyyy-mm")</x:f>
        <x:v>2025-11</x:v>
      </x:c>
    </x:row>
    <x:row r="436">
      <x:c r="A436" s="1" t="str">
        <x:v>ORD-0432</x:v>
      </x:c>
      <x:c r="B436" s="4" t="d">
        <x:v>2025-12-15T00:00:00.000Z</x:v>
      </x:c>
      <x:c r="C436" s="1" t="str">
        <x:v>C-066</x:v>
      </x:c>
      <x:c r="D436" s="1" t="str">
        <x:v>North</x:v>
      </x:c>
      <x:c r="E436" s="1" t="str">
        <x:v>Fashion</x:v>
      </x:c>
      <x:c r="F436" s="1" t="str">
        <x:v>T-shirt</x:v>
      </x:c>
      <x:c r="G436" s="1" t="n">
        <x:v>3</x:v>
      </x:c>
      <x:c r="H436" s="2" t="n">
        <x:v>700</x:v>
      </x:c>
      <x:c r="I436" s="3" t="n">
        <x:v>0.35</x:v>
      </x:c>
      <x:c r="J436" s="2" t="n">
        <x:v>300</x:v>
      </x:c>
      <x:c r="K436" s="2" t="n">
        <x:v>50</x:v>
      </x:c>
      <x:c r="L436" s="2" t="n">
        <x:f>G436*H436</x:f>
        <x:v>2100</x:v>
      </x:c>
      <x:c r="M436" s="2" t="n">
        <x:f>ROUND(L436*(1-I436),2)</x:f>
        <x:v>1365</x:v>
      </x:c>
      <x:c r="N436" s="2" t="n">
        <x:f>G436*J436</x:f>
        <x:v>900</x:v>
      </x:c>
      <x:c r="O436" s="2" t="n">
        <x:f>M436-N436-K436</x:f>
        <x:v>415</x:v>
      </x:c>
      <x:c r="P436" s="1" t="str">
        <x:f>TEXT(B436,"yyyy-mm")</x:f>
        <x:v>2025-12</x:v>
      </x:c>
    </x:row>
    <x:row r="437">
      <x:c r="A437" s="1" t="str">
        <x:v>ORD-0433</x:v>
      </x:c>
      <x:c r="B437" s="4" t="d">
        <x:v>2025-01-06T00:00:00.000Z</x:v>
      </x:c>
      <x:c r="C437" s="1" t="str">
        <x:v>C-294</x:v>
      </x:c>
      <x:c r="D437" s="1" t="str">
        <x:v>West</x:v>
      </x:c>
      <x:c r="E437" s="1" t="str">
        <x:v>Home</x:v>
      </x:c>
      <x:c r="F437" s="1" t="str">
        <x:v>Desk lamp</x:v>
      </x:c>
      <x:c r="G437" s="1" t="n">
        <x:v>4</x:v>
      </x:c>
      <x:c r="H437" s="2" t="n">
        <x:v>1100</x:v>
      </x:c>
      <x:c r="I437" s="3" t="n">
        <x:v>0</x:v>
      </x:c>
      <x:c r="J437" s="2" t="n">
        <x:v>650</x:v>
      </x:c>
      <x:c r="K437" s="2" t="n">
        <x:v>80</x:v>
      </x:c>
      <x:c r="L437" s="2" t="n">
        <x:f>G437*H437</x:f>
        <x:v>4400</x:v>
      </x:c>
      <x:c r="M437" s="2" t="n">
        <x:f>ROUND(L437*(1-I437),2)</x:f>
        <x:v>4400</x:v>
      </x:c>
      <x:c r="N437" s="2" t="n">
        <x:f>G437*J437</x:f>
        <x:v>2600</x:v>
      </x:c>
      <x:c r="O437" s="2" t="n">
        <x:f>M437-N437-K437</x:f>
        <x:v>1720</x:v>
      </x:c>
      <x:c r="P437" s="1" t="str">
        <x:f>TEXT(B437,"yyyy-mm")</x:f>
        <x:v>2025-01</x:v>
      </x:c>
    </x:row>
    <x:row r="438">
      <x:c r="A438" s="1" t="str">
        <x:v>ORD-0434</x:v>
      </x:c>
      <x:c r="B438" s="4" t="d">
        <x:v>2025-01-12T00:00:00.000Z</x:v>
      </x:c>
      <x:c r="C438" s="1" t="str">
        <x:v>C-110</x:v>
      </x:c>
      <x:c r="D438" s="1" t="str">
        <x:v>South</x:v>
      </x:c>
      <x:c r="E438" s="1" t="str">
        <x:v>Home</x:v>
      </x:c>
      <x:c r="F438" s="1" t="str">
        <x:v>Office chair</x:v>
      </x:c>
      <x:c r="G438" s="1" t="n">
        <x:v>3</x:v>
      </x:c>
      <x:c r="H438" s="2" t="n">
        <x:v>5500</x:v>
      </x:c>
      <x:c r="I438" s="3" t="n">
        <x:v>0.05</x:v>
      </x:c>
      <x:c r="J438" s="2" t="n">
        <x:v>4400</x:v>
      </x:c>
      <x:c r="K438" s="2" t="n">
        <x:v>80</x:v>
      </x:c>
      <x:c r="L438" s="2" t="n">
        <x:f>G438*H438</x:f>
        <x:v>16500</x:v>
      </x:c>
      <x:c r="M438" s="2" t="n">
        <x:f>ROUND(L438*(1-I438),2)</x:f>
        <x:v>15675</x:v>
      </x:c>
      <x:c r="N438" s="2" t="n">
        <x:f>G438*J438</x:f>
        <x:v>13200</x:v>
      </x:c>
      <x:c r="O438" s="2" t="n">
        <x:f>M438-N438-K438</x:f>
        <x:v>2395</x:v>
      </x:c>
      <x:c r="P438" s="1" t="str">
        <x:f>TEXT(B438,"yyyy-mm")</x:f>
        <x:v>2025-01</x:v>
      </x:c>
    </x:row>
    <x:row r="439">
      <x:c r="A439" s="1" t="str">
        <x:v>ORD-0435</x:v>
      </x:c>
      <x:c r="B439" s="4" t="d">
        <x:v>2025-07-20T00:00:00.000Z</x:v>
      </x:c>
      <x:c r="C439" s="1" t="str">
        <x:v>C-126</x:v>
      </x:c>
      <x:c r="D439" s="1" t="str">
        <x:v>East</x:v>
      </x:c>
      <x:c r="E439" s="1" t="str">
        <x:v>Electronics</x:v>
      </x:c>
      <x:c r="F439" s="1" t="str">
        <x:v>Smartwatch</x:v>
      </x:c>
      <x:c r="G439" s="1" t="n">
        <x:v>4</x:v>
      </x:c>
      <x:c r="H439" s="2" t="n">
        <x:v>4200</x:v>
      </x:c>
      <x:c r="I439" s="3" t="n">
        <x:v>0</x:v>
      </x:c>
      <x:c r="J439" s="2" t="n">
        <x:v>3000</x:v>
      </x:c>
      <x:c r="K439" s="2" t="n">
        <x:v>80</x:v>
      </x:c>
      <x:c r="L439" s="2" t="n">
        <x:f>G439*H439</x:f>
        <x:v>16800</x:v>
      </x:c>
      <x:c r="M439" s="2" t="n">
        <x:f>ROUND(L439*(1-I439),2)</x:f>
        <x:v>16800</x:v>
      </x:c>
      <x:c r="N439" s="2" t="n">
        <x:f>G439*J439</x:f>
        <x:v>12000</x:v>
      </x:c>
      <x:c r="O439" s="2" t="n">
        <x:f>M439-N439-K439</x:f>
        <x:v>4720</x:v>
      </x:c>
      <x:c r="P439" s="1" t="str">
        <x:f>TEXT(B439,"yyyy-mm")</x:f>
        <x:v>2025-07</x:v>
      </x:c>
    </x:row>
    <x:row r="440">
      <x:c r="A440" s="1" t="str">
        <x:v>ORD-0436</x:v>
      </x:c>
      <x:c r="B440" s="4" t="d">
        <x:v>2025-11-03T00:00:00.000Z</x:v>
      </x:c>
      <x:c r="C440" s="1" t="str">
        <x:v>C-144</x:v>
      </x:c>
      <x:c r="D440" s="1" t="str">
        <x:v>West</x:v>
      </x:c>
      <x:c r="E440" s="1" t="str">
        <x:v>Home</x:v>
      </x:c>
      <x:c r="F440" s="1" t="str">
        <x:v>Desk lamp</x:v>
      </x:c>
      <x:c r="G440" s="1" t="n">
        <x:v>2</x:v>
      </x:c>
      <x:c r="H440" s="2" t="n">
        <x:v>1100</x:v>
      </x:c>
      <x:c r="I440" s="3" t="n">
        <x:v>0</x:v>
      </x:c>
      <x:c r="J440" s="2" t="n">
        <x:v>650</x:v>
      </x:c>
      <x:c r="K440" s="2" t="n">
        <x:v>80</x:v>
      </x:c>
      <x:c r="L440" s="2" t="n">
        <x:f>G440*H440</x:f>
        <x:v>2200</x:v>
      </x:c>
      <x:c r="M440" s="2" t="n">
        <x:f>ROUND(L440*(1-I440),2)</x:f>
        <x:v>2200</x:v>
      </x:c>
      <x:c r="N440" s="2" t="n">
        <x:f>G440*J440</x:f>
        <x:v>1300</x:v>
      </x:c>
      <x:c r="O440" s="2" t="n">
        <x:f>M440-N440-K440</x:f>
        <x:v>820</x:v>
      </x:c>
      <x:c r="P440" s="1" t="str">
        <x:f>TEXT(B440,"yyyy-mm")</x:f>
        <x:v>2025-11</x:v>
      </x:c>
    </x:row>
    <x:row r="441">
      <x:c r="A441" s="1" t="str">
        <x:v>ORD-0437</x:v>
      </x:c>
      <x:c r="B441" s="4" t="d">
        <x:v>2025-04-21T00:00:00.000Z</x:v>
      </x:c>
      <x:c r="C441" s="1" t="str">
        <x:v>C-279</x:v>
      </x:c>
      <x:c r="D441" s="1" t="str">
        <x:v>North</x:v>
      </x:c>
      <x:c r="E441" s="1" t="str">
        <x:v>Home</x:v>
      </x:c>
      <x:c r="F441" s="1" t="str">
        <x:v>Storage box</x:v>
      </x:c>
      <x:c r="G441" s="1" t="n">
        <x:v>4</x:v>
      </x:c>
      <x:c r="H441" s="2" t="n">
        <x:v>800</x:v>
      </x:c>
      <x:c r="I441" s="3" t="n">
        <x:v>0.05</x:v>
      </x:c>
      <x:c r="J441" s="2" t="n">
        <x:v>420</x:v>
      </x:c>
      <x:c r="K441" s="2" t="n">
        <x:v>120</x:v>
      </x:c>
      <x:c r="L441" s="2" t="n">
        <x:f>G441*H441</x:f>
        <x:v>3200</x:v>
      </x:c>
      <x:c r="M441" s="2" t="n">
        <x:f>ROUND(L441*(1-I441),2)</x:f>
        <x:v>3040</x:v>
      </x:c>
      <x:c r="N441" s="2" t="n">
        <x:f>G441*J441</x:f>
        <x:v>1680</x:v>
      </x:c>
      <x:c r="O441" s="2" t="n">
        <x:f>M441-N441-K441</x:f>
        <x:v>1240</x:v>
      </x:c>
      <x:c r="P441" s="1" t="str">
        <x:f>TEXT(B441,"yyyy-mm")</x:f>
        <x:v>2025-04</x:v>
      </x:c>
    </x:row>
    <x:row r="442">
      <x:c r="A442" s="1" t="str">
        <x:v>ORD-0438</x:v>
      </x:c>
      <x:c r="B442" s="4" t="d">
        <x:v>2025-06-12T00:00:00.000Z</x:v>
      </x:c>
      <x:c r="C442" s="1" t="str">
        <x:v>C-290</x:v>
      </x:c>
      <x:c r="D442" s="1" t="str">
        <x:v>East</x:v>
      </x:c>
      <x:c r="E442" s="1" t="str">
        <x:v>Home</x:v>
      </x:c>
      <x:c r="F442" s="1" t="str">
        <x:v>Storage box</x:v>
      </x:c>
      <x:c r="G442" s="1" t="n">
        <x:v>4</x:v>
      </x:c>
      <x:c r="H442" s="2" t="n">
        <x:v>800</x:v>
      </x:c>
      <x:c r="I442" s="3" t="n">
        <x:v>0.15</x:v>
      </x:c>
      <x:c r="J442" s="2" t="n">
        <x:v>420</x:v>
      </x:c>
      <x:c r="K442" s="2" t="n">
        <x:v>80</x:v>
      </x:c>
      <x:c r="L442" s="2" t="n">
        <x:f>G442*H442</x:f>
        <x:v>3200</x:v>
      </x:c>
      <x:c r="M442" s="2" t="n">
        <x:f>ROUND(L442*(1-I442),2)</x:f>
        <x:v>2720</x:v>
      </x:c>
      <x:c r="N442" s="2" t="n">
        <x:f>G442*J442</x:f>
        <x:v>1680</x:v>
      </x:c>
      <x:c r="O442" s="2" t="n">
        <x:f>M442-N442-K442</x:f>
        <x:v>960</x:v>
      </x:c>
      <x:c r="P442" s="1" t="str">
        <x:f>TEXT(B442,"yyyy-mm")</x:f>
        <x:v>2025-06</x:v>
      </x:c>
    </x:row>
    <x:row r="443">
      <x:c r="A443" s="1" t="str">
        <x:v>ORD-0439</x:v>
      </x:c>
      <x:c r="B443" s="4" t="d">
        <x:v>2025-03-08T00:00:00.000Z</x:v>
      </x:c>
      <x:c r="C443" s="1" t="str">
        <x:v>C-016</x:v>
      </x:c>
      <x:c r="D443" s="1" t="str">
        <x:v>East</x:v>
      </x:c>
      <x:c r="E443" s="1" t="str">
        <x:v>Fashion</x:v>
      </x:c>
      <x:c r="F443" s="1" t="str">
        <x:v>Backpack</x:v>
      </x:c>
      <x:c r="G443" s="1" t="n">
        <x:v>1</x:v>
      </x:c>
      <x:c r="H443" s="2" t="n">
        <x:v>1300</x:v>
      </x:c>
      <x:c r="I443" s="3" t="n">
        <x:v>0.25</x:v>
      </x:c>
      <x:c r="J443" s="2" t="n">
        <x:v>650</x:v>
      </x:c>
      <x:c r="K443" s="2" t="n">
        <x:v>80</x:v>
      </x:c>
      <x:c r="L443" s="2" t="n">
        <x:f>G443*H443</x:f>
        <x:v>1300</x:v>
      </x:c>
      <x:c r="M443" s="2" t="n">
        <x:f>ROUND(L443*(1-I443),2)</x:f>
        <x:v>975</x:v>
      </x:c>
      <x:c r="N443" s="2" t="n">
        <x:f>G443*J443</x:f>
        <x:v>650</x:v>
      </x:c>
      <x:c r="O443" s="2" t="n">
        <x:f>M443-N443-K443</x:f>
        <x:v>245</x:v>
      </x:c>
      <x:c r="P443" s="1" t="str">
        <x:f>TEXT(B443,"yyyy-mm")</x:f>
        <x:v>2025-03</x:v>
      </x:c>
    </x:row>
    <x:row r="444">
      <x:c r="A444" s="1" t="str">
        <x:v>ORD-0440</x:v>
      </x:c>
      <x:c r="B444" s="4" t="d">
        <x:v>2025-08-04T00:00:00.000Z</x:v>
      </x:c>
      <x:c r="C444" s="1" t="str">
        <x:v>C-127</x:v>
      </x:c>
      <x:c r="D444" s="1" t="str">
        <x:v>South</x:v>
      </x:c>
      <x:c r="E444" s="1" t="str">
        <x:v>Fashion</x:v>
      </x:c>
      <x:c r="F444" s="1" t="str">
        <x:v>T-shirt</x:v>
      </x:c>
      <x:c r="G444" s="1" t="n">
        <x:v>3</x:v>
      </x:c>
      <x:c r="H444" s="2" t="n">
        <x:v>700</x:v>
      </x:c>
      <x:c r="I444" s="3" t="n">
        <x:v>0.05</x:v>
      </x:c>
      <x:c r="J444" s="2" t="n">
        <x:v>300</x:v>
      </x:c>
      <x:c r="K444" s="2" t="n">
        <x:v>120</x:v>
      </x:c>
      <x:c r="L444" s="2" t="n">
        <x:f>G444*H444</x:f>
        <x:v>2100</x:v>
      </x:c>
      <x:c r="M444" s="2" t="n">
        <x:f>ROUND(L444*(1-I444),2)</x:f>
        <x:v>1995</x:v>
      </x:c>
      <x:c r="N444" s="2" t="n">
        <x:f>G444*J444</x:f>
        <x:v>900</x:v>
      </x:c>
      <x:c r="O444" s="2" t="n">
        <x:f>M444-N444-K444</x:f>
        <x:v>975</x:v>
      </x:c>
      <x:c r="P444" s="1" t="str">
        <x:f>TEXT(B444,"yyyy-mm")</x:f>
        <x:v>2025-08</x:v>
      </x:c>
    </x:row>
    <x:row r="445">
      <x:c r="A445" s="1" t="str">
        <x:v>ORD-0441</x:v>
      </x:c>
      <x:c r="B445" s="4" t="d">
        <x:v>2025-11-19T00:00:00.000Z</x:v>
      </x:c>
      <x:c r="C445" s="1" t="str">
        <x:v>C-199</x:v>
      </x:c>
      <x:c r="D445" s="1" t="str">
        <x:v>East</x:v>
      </x:c>
      <x:c r="E445" s="1" t="str">
        <x:v>Electronics</x:v>
      </x:c>
      <x:c r="F445" s="1" t="str">
        <x:v>Headphones</x:v>
      </x:c>
      <x:c r="G445" s="1" t="n">
        <x:v>2</x:v>
      </x:c>
      <x:c r="H445" s="2" t="n">
        <x:v>2200</x:v>
      </x:c>
      <x:c r="I445" s="3" t="n">
        <x:v>0.05</x:v>
      </x:c>
      <x:c r="J445" s="2" t="n">
        <x:v>1450</x:v>
      </x:c>
      <x:c r="K445" s="2" t="n">
        <x:v>50</x:v>
      </x:c>
      <x:c r="L445" s="2" t="n">
        <x:f>G445*H445</x:f>
        <x:v>4400</x:v>
      </x:c>
      <x:c r="M445" s="2" t="n">
        <x:f>ROUND(L445*(1-I445),2)</x:f>
        <x:v>4180</x:v>
      </x:c>
      <x:c r="N445" s="2" t="n">
        <x:f>G445*J445</x:f>
        <x:v>2900</x:v>
      </x:c>
      <x:c r="O445" s="2" t="n">
        <x:f>M445-N445-K445</x:f>
        <x:v>1230</x:v>
      </x:c>
      <x:c r="P445" s="1" t="str">
        <x:f>TEXT(B445,"yyyy-mm")</x:f>
        <x:v>2025-11</x:v>
      </x:c>
    </x:row>
    <x:row r="446">
      <x:c r="A446" s="1" t="str">
        <x:v>ORD-0442</x:v>
      </x:c>
      <x:c r="B446" s="4" t="d">
        <x:v>2025-04-23T00:00:00.000Z</x:v>
      </x:c>
      <x:c r="C446" s="1" t="str">
        <x:v>C-184</x:v>
      </x:c>
      <x:c r="D446" s="1" t="str">
        <x:v>North</x:v>
      </x:c>
      <x:c r="E446" s="1" t="str">
        <x:v>Fashion</x:v>
      </x:c>
      <x:c r="F446" s="1" t="str">
        <x:v>Backpack</x:v>
      </x:c>
      <x:c r="G446" s="1" t="n">
        <x:v>3</x:v>
      </x:c>
      <x:c r="H446" s="2" t="n">
        <x:v>1300</x:v>
      </x:c>
      <x:c r="I446" s="3" t="n">
        <x:v>0.35</x:v>
      </x:c>
      <x:c r="J446" s="2" t="n">
        <x:v>650</x:v>
      </x:c>
      <x:c r="K446" s="2" t="n">
        <x:v>120</x:v>
      </x:c>
      <x:c r="L446" s="2" t="n">
        <x:f>G446*H446</x:f>
        <x:v>3900</x:v>
      </x:c>
      <x:c r="M446" s="2" t="n">
        <x:f>ROUND(L446*(1-I446),2)</x:f>
        <x:v>2535</x:v>
      </x:c>
      <x:c r="N446" s="2" t="n">
        <x:f>G446*J446</x:f>
        <x:v>1950</x:v>
      </x:c>
      <x:c r="O446" s="2" t="n">
        <x:f>M446-N446-K446</x:f>
        <x:v>465</x:v>
      </x:c>
      <x:c r="P446" s="1" t="str">
        <x:f>TEXT(B446,"yyyy-mm")</x:f>
        <x:v>2025-04</x:v>
      </x:c>
    </x:row>
    <x:row r="447">
      <x:c r="A447" s="1" t="str">
        <x:v>ORD-0443</x:v>
      </x:c>
      <x:c r="B447" s="4" t="d">
        <x:v>2025-08-18T00:00:00.000Z</x:v>
      </x:c>
      <x:c r="C447" s="1" t="str">
        <x:v>C-159</x:v>
      </x:c>
      <x:c r="D447" s="1" t="str">
        <x:v>South</x:v>
      </x:c>
      <x:c r="E447" s="1" t="str">
        <x:v>Fashion</x:v>
      </x:c>
      <x:c r="F447" s="1" t="str">
        <x:v>T-shirt</x:v>
      </x:c>
      <x:c r="G447" s="1" t="n">
        <x:v>4</x:v>
      </x:c>
      <x:c r="H447" s="2" t="n">
        <x:v>700</x:v>
      </x:c>
      <x:c r="I447" s="3" t="n">
        <x:v>0.15</x:v>
      </x:c>
      <x:c r="J447" s="2" t="n">
        <x:v>300</x:v>
      </x:c>
      <x:c r="K447" s="2" t="n">
        <x:v>50</x:v>
      </x:c>
      <x:c r="L447" s="2" t="n">
        <x:f>G447*H447</x:f>
        <x:v>2800</x:v>
      </x:c>
      <x:c r="M447" s="2" t="n">
        <x:f>ROUND(L447*(1-I447),2)</x:f>
        <x:v>2380</x:v>
      </x:c>
      <x:c r="N447" s="2" t="n">
        <x:f>G447*J447</x:f>
        <x:v>1200</x:v>
      </x:c>
      <x:c r="O447" s="2" t="n">
        <x:f>M447-N447-K447</x:f>
        <x:v>1130</x:v>
      </x:c>
      <x:c r="P447" s="1" t="str">
        <x:f>TEXT(B447,"yyyy-mm")</x:f>
        <x:v>2025-08</x:v>
      </x:c>
    </x:row>
    <x:row r="448">
      <x:c r="A448" s="1" t="str">
        <x:v>ORD-0444</x:v>
      </x:c>
      <x:c r="B448" s="4" t="d">
        <x:v>2025-02-08T00:00:00.000Z</x:v>
      </x:c>
      <x:c r="C448" s="1" t="str">
        <x:v>C-011</x:v>
      </x:c>
      <x:c r="D448" s="1" t="str">
        <x:v>West</x:v>
      </x:c>
      <x:c r="E448" s="1" t="str">
        <x:v>Fashion</x:v>
      </x:c>
      <x:c r="F448" s="1" t="str">
        <x:v>T-shirt</x:v>
      </x:c>
      <x:c r="G448" s="1" t="n">
        <x:v>1</x:v>
      </x:c>
      <x:c r="H448" s="2" t="n">
        <x:v>700</x:v>
      </x:c>
      <x:c r="I448" s="3" t="n">
        <x:v>0.25</x:v>
      </x:c>
      <x:c r="J448" s="2" t="n">
        <x:v>300</x:v>
      </x:c>
      <x:c r="K448" s="2" t="n">
        <x:v>80</x:v>
      </x:c>
      <x:c r="L448" s="2" t="n">
        <x:f>G448*H448</x:f>
        <x:v>700</x:v>
      </x:c>
      <x:c r="M448" s="2" t="n">
        <x:f>ROUND(L448*(1-I448),2)</x:f>
        <x:v>525</x:v>
      </x:c>
      <x:c r="N448" s="2" t="n">
        <x:f>G448*J448</x:f>
        <x:v>300</x:v>
      </x:c>
      <x:c r="O448" s="2" t="n">
        <x:f>M448-N448-K448</x:f>
        <x:v>145</x:v>
      </x:c>
      <x:c r="P448" s="1" t="str">
        <x:f>TEXT(B448,"yyyy-mm")</x:f>
        <x:v>2025-02</x:v>
      </x:c>
    </x:row>
    <x:row r="449">
      <x:c r="A449" s="1" t="str">
        <x:v>ORD-0445</x:v>
      </x:c>
      <x:c r="B449" s="4" t="d">
        <x:v>2025-12-11T00:00:00.000Z</x:v>
      </x:c>
      <x:c r="C449" s="1" t="str">
        <x:v>C-091</x:v>
      </x:c>
      <x:c r="D449" s="1" t="str">
        <x:v>East</x:v>
      </x:c>
      <x:c r="E449" s="1" t="str">
        <x:v>Fashion</x:v>
      </x:c>
      <x:c r="F449" s="1" t="str">
        <x:v>T-shirt</x:v>
      </x:c>
      <x:c r="G449" s="1" t="n">
        <x:v>1</x:v>
      </x:c>
      <x:c r="H449" s="2" t="n">
        <x:v>700</x:v>
      </x:c>
      <x:c r="I449" s="3" t="n">
        <x:v>0.05</x:v>
      </x:c>
      <x:c r="J449" s="2" t="n">
        <x:v>300</x:v>
      </x:c>
      <x:c r="K449" s="2" t="n">
        <x:v>50</x:v>
      </x:c>
      <x:c r="L449" s="2" t="n">
        <x:f>G449*H449</x:f>
        <x:v>700</x:v>
      </x:c>
      <x:c r="M449" s="2" t="n">
        <x:f>ROUND(L449*(1-I449),2)</x:f>
        <x:v>665</x:v>
      </x:c>
      <x:c r="N449" s="2" t="n">
        <x:f>G449*J449</x:f>
        <x:v>300</x:v>
      </x:c>
      <x:c r="O449" s="2" t="n">
        <x:f>M449-N449-K449</x:f>
        <x:v>315</x:v>
      </x:c>
      <x:c r="P449" s="1" t="str">
        <x:f>TEXT(B449,"yyyy-mm")</x:f>
        <x:v>2025-12</x:v>
      </x:c>
    </x:row>
    <x:row r="450">
      <x:c r="A450" s="1" t="str">
        <x:v>ORD-0446</x:v>
      </x:c>
      <x:c r="B450" s="4" t="d">
        <x:v>2025-03-28T00:00:00.000Z</x:v>
      </x:c>
      <x:c r="C450" s="1" t="str">
        <x:v>C-270</x:v>
      </x:c>
      <x:c r="D450" s="1" t="str">
        <x:v>East</x:v>
      </x:c>
      <x:c r="E450" s="1" t="str">
        <x:v>Electronics</x:v>
      </x:c>
      <x:c r="F450" s="1" t="str">
        <x:v>Smartwatch</x:v>
      </x:c>
      <x:c r="G450" s="1" t="n">
        <x:v>1</x:v>
      </x:c>
      <x:c r="H450" s="2" t="n">
        <x:v>4200</x:v>
      </x:c>
      <x:c r="I450" s="3" t="n">
        <x:v>0</x:v>
      </x:c>
      <x:c r="J450" s="2" t="n">
        <x:v>3000</x:v>
      </x:c>
      <x:c r="K450" s="2" t="n">
        <x:v>80</x:v>
      </x:c>
      <x:c r="L450" s="2" t="n">
        <x:f>G450*H450</x:f>
        <x:v>4200</x:v>
      </x:c>
      <x:c r="M450" s="2" t="n">
        <x:f>ROUND(L450*(1-I450),2)</x:f>
        <x:v>4200</x:v>
      </x:c>
      <x:c r="N450" s="2" t="n">
        <x:f>G450*J450</x:f>
        <x:v>3000</x:v>
      </x:c>
      <x:c r="O450" s="2" t="n">
        <x:f>M450-N450-K450</x:f>
        <x:v>1120</x:v>
      </x:c>
      <x:c r="P450" s="1" t="str">
        <x:f>TEXT(B450,"yyyy-mm")</x:f>
        <x:v>2025-03</x:v>
      </x:c>
    </x:row>
    <x:row r="451">
      <x:c r="A451" s="1" t="str">
        <x:v>ORD-0447</x:v>
      </x:c>
      <x:c r="B451" s="4" t="d">
        <x:v>2025-10-04T00:00:00.000Z</x:v>
      </x:c>
      <x:c r="C451" s="1" t="str">
        <x:v>C-173</x:v>
      </x:c>
      <x:c r="D451" s="1" t="str">
        <x:v>East</x:v>
      </x:c>
      <x:c r="E451" s="1" t="str">
        <x:v>Home</x:v>
      </x:c>
      <x:c r="F451" s="1" t="str">
        <x:v>Office chair</x:v>
      </x:c>
      <x:c r="G451" s="1" t="n">
        <x:v>3</x:v>
      </x:c>
      <x:c r="H451" s="2" t="n">
        <x:v>5500</x:v>
      </x:c>
      <x:c r="I451" s="3" t="n">
        <x:v>0.25</x:v>
      </x:c>
      <x:c r="J451" s="2" t="n">
        <x:v>4400</x:v>
      </x:c>
      <x:c r="K451" s="2" t="n">
        <x:v>50</x:v>
      </x:c>
      <x:c r="L451" s="2" t="n">
        <x:f>G451*H451</x:f>
        <x:v>16500</x:v>
      </x:c>
      <x:c r="M451" s="2" t="n">
        <x:f>ROUND(L451*(1-I451),2)</x:f>
        <x:v>12375</x:v>
      </x:c>
      <x:c r="N451" s="2" t="n">
        <x:f>G451*J451</x:f>
        <x:v>13200</x:v>
      </x:c>
      <x:c r="O451" s="2" t="n">
        <x:f>M451-N451-K451</x:f>
        <x:v>-875</x:v>
      </x:c>
      <x:c r="P451" s="1" t="str">
        <x:f>TEXT(B451,"yyyy-mm")</x:f>
        <x:v>2025-10</x:v>
      </x:c>
    </x:row>
    <x:row r="452">
      <x:c r="A452" s="1" t="str">
        <x:v>ORD-0448</x:v>
      </x:c>
      <x:c r="B452" s="4" t="d">
        <x:v>2025-12-31T00:00:00.000Z</x:v>
      </x:c>
      <x:c r="C452" s="1" t="str">
        <x:v>C-250</x:v>
      </x:c>
      <x:c r="D452" s="1" t="str">
        <x:v>East</x:v>
      </x:c>
      <x:c r="E452" s="1" t="str">
        <x:v>Home</x:v>
      </x:c>
      <x:c r="F452" s="1" t="str">
        <x:v>Office chair</x:v>
      </x:c>
      <x:c r="G452" s="1" t="n">
        <x:v>2</x:v>
      </x:c>
      <x:c r="H452" s="2" t="n">
        <x:v>5500</x:v>
      </x:c>
      <x:c r="I452" s="3" t="n">
        <x:v>0.35</x:v>
      </x:c>
      <x:c r="J452" s="2" t="n">
        <x:v>4400</x:v>
      </x:c>
      <x:c r="K452" s="2" t="n">
        <x:v>120</x:v>
      </x:c>
      <x:c r="L452" s="2" t="n">
        <x:f>G452*H452</x:f>
        <x:v>11000</x:v>
      </x:c>
      <x:c r="M452" s="2" t="n">
        <x:f>ROUND(L452*(1-I452),2)</x:f>
        <x:v>7150</x:v>
      </x:c>
      <x:c r="N452" s="2" t="n">
        <x:f>G452*J452</x:f>
        <x:v>8800</x:v>
      </x:c>
      <x:c r="O452" s="2" t="n">
        <x:f>M452-N452-K452</x:f>
        <x:v>-1770</x:v>
      </x:c>
      <x:c r="P452" s="1" t="str">
        <x:f>TEXT(B452,"yyyy-mm")</x:f>
        <x:v>2025-12</x:v>
      </x:c>
    </x:row>
    <x:row r="453">
      <x:c r="A453" s="1" t="str">
        <x:v>ORD-0449</x:v>
      </x:c>
      <x:c r="B453" s="4" t="d">
        <x:v>2025-12-22T00:00:00.000Z</x:v>
      </x:c>
      <x:c r="C453" s="1" t="str">
        <x:v>C-090</x:v>
      </x:c>
      <x:c r="D453" s="1" t="str">
        <x:v>West</x:v>
      </x:c>
      <x:c r="E453" s="1" t="str">
        <x:v>Fashion</x:v>
      </x:c>
      <x:c r="F453" s="1" t="str">
        <x:v>Backpack</x:v>
      </x:c>
      <x:c r="G453" s="1" t="n">
        <x:v>3</x:v>
      </x:c>
      <x:c r="H453" s="2" t="n">
        <x:v>1300</x:v>
      </x:c>
      <x:c r="I453" s="3" t="n">
        <x:v>0.05</x:v>
      </x:c>
      <x:c r="J453" s="2" t="n">
        <x:v>650</x:v>
      </x:c>
      <x:c r="K453" s="2" t="n">
        <x:v>120</x:v>
      </x:c>
      <x:c r="L453" s="2" t="n">
        <x:f>G453*H453</x:f>
        <x:v>3900</x:v>
      </x:c>
      <x:c r="M453" s="2" t="n">
        <x:f>ROUND(L453*(1-I453),2)</x:f>
        <x:v>3705</x:v>
      </x:c>
      <x:c r="N453" s="2" t="n">
        <x:f>G453*J453</x:f>
        <x:v>1950</x:v>
      </x:c>
      <x:c r="O453" s="2" t="n">
        <x:f>M453-N453-K453</x:f>
        <x:v>1635</x:v>
      </x:c>
      <x:c r="P453" s="1" t="str">
        <x:f>TEXT(B453,"yyyy-mm")</x:f>
        <x:v>2025-12</x:v>
      </x:c>
    </x:row>
    <x:row r="454">
      <x:c r="A454" s="1" t="str">
        <x:v>ORD-0450</x:v>
      </x:c>
      <x:c r="B454" s="4" t="d">
        <x:v>2025-10-24T00:00:00.000Z</x:v>
      </x:c>
      <x:c r="C454" s="1" t="str">
        <x:v>C-001</x:v>
      </x:c>
      <x:c r="D454" s="1" t="str">
        <x:v>West</x:v>
      </x:c>
      <x:c r="E454" s="1" t="str">
        <x:v>Electronics</x:v>
      </x:c>
      <x:c r="F454" s="1" t="str">
        <x:v>Smartwatch</x:v>
      </x:c>
      <x:c r="G454" s="1" t="n">
        <x:v>1</x:v>
      </x:c>
      <x:c r="H454" s="2" t="n">
        <x:v>4200</x:v>
      </x:c>
      <x:c r="I454" s="3" t="n">
        <x:v>0.05</x:v>
      </x:c>
      <x:c r="J454" s="2" t="n">
        <x:v>3000</x:v>
      </x:c>
      <x:c r="K454" s="2" t="n">
        <x:v>50</x:v>
      </x:c>
      <x:c r="L454" s="2" t="n">
        <x:f>G454*H454</x:f>
        <x:v>4200</x:v>
      </x:c>
      <x:c r="M454" s="2" t="n">
        <x:f>ROUND(L454*(1-I454),2)</x:f>
        <x:v>3990</x:v>
      </x:c>
      <x:c r="N454" s="2" t="n">
        <x:f>G454*J454</x:f>
        <x:v>3000</x:v>
      </x:c>
      <x:c r="O454" s="2" t="n">
        <x:f>M454-N454-K454</x:f>
        <x:v>940</x:v>
      </x:c>
      <x:c r="P454" s="1" t="str">
        <x:f>TEXT(B454,"yyyy-mm")</x:f>
        <x:v>2025-10</x:v>
      </x:c>
    </x:row>
    <x:row r="455">
      <x:c r="A455" s="1" t="str">
        <x:v>ORD-0451</x:v>
      </x:c>
      <x:c r="B455" s="4" t="d">
        <x:v>2025-09-19T00:00:00.000Z</x:v>
      </x:c>
      <x:c r="C455" s="1" t="str">
        <x:v>C-054</x:v>
      </x:c>
      <x:c r="D455" s="1" t="str">
        <x:v>West</x:v>
      </x:c>
      <x:c r="E455" s="1" t="str">
        <x:v>Fashion</x:v>
      </x:c>
      <x:c r="F455" s="1" t="str">
        <x:v>T-shirt</x:v>
      </x:c>
      <x:c r="G455" s="1" t="n">
        <x:v>2</x:v>
      </x:c>
      <x:c r="H455" s="2" t="n">
        <x:v>700</x:v>
      </x:c>
      <x:c r="I455" s="3" t="n">
        <x:v>0.35</x:v>
      </x:c>
      <x:c r="J455" s="2" t="n">
        <x:v>300</x:v>
      </x:c>
      <x:c r="K455" s="2" t="n">
        <x:v>80</x:v>
      </x:c>
      <x:c r="L455" s="2" t="n">
        <x:f>G455*H455</x:f>
        <x:v>1400</x:v>
      </x:c>
      <x:c r="M455" s="2" t="n">
        <x:f>ROUND(L455*(1-I455),2)</x:f>
        <x:v>910</x:v>
      </x:c>
      <x:c r="N455" s="2" t="n">
        <x:f>G455*J455</x:f>
        <x:v>600</x:v>
      </x:c>
      <x:c r="O455" s="2" t="n">
        <x:f>M455-N455-K455</x:f>
        <x:v>230</x:v>
      </x:c>
      <x:c r="P455" s="1" t="str">
        <x:f>TEXT(B455,"yyyy-mm")</x:f>
        <x:v>2025-09</x:v>
      </x:c>
    </x:row>
    <x:row r="456">
      <x:c r="A456" s="1" t="str">
        <x:v>ORD-0452</x:v>
      </x:c>
      <x:c r="B456" s="4" t="d">
        <x:v>2025-10-11T00:00:00.000Z</x:v>
      </x:c>
      <x:c r="C456" s="1" t="str">
        <x:v>C-086</x:v>
      </x:c>
      <x:c r="D456" s="1" t="str">
        <x:v>North</x:v>
      </x:c>
      <x:c r="E456" s="1" t="str">
        <x:v>Fashion</x:v>
      </x:c>
      <x:c r="F456" s="1" t="str">
        <x:v>T-shirt</x:v>
      </x:c>
      <x:c r="G456" s="1" t="n">
        <x:v>3</x:v>
      </x:c>
      <x:c r="H456" s="2" t="n">
        <x:v>700</x:v>
      </x:c>
      <x:c r="I456" s="3" t="n">
        <x:v>0.1</x:v>
      </x:c>
      <x:c r="J456" s="2" t="n">
        <x:v>300</x:v>
      </x:c>
      <x:c r="K456" s="2" t="n">
        <x:v>80</x:v>
      </x:c>
      <x:c r="L456" s="2" t="n">
        <x:f>G456*H456</x:f>
        <x:v>2100</x:v>
      </x:c>
      <x:c r="M456" s="2" t="n">
        <x:f>ROUND(L456*(1-I456),2)</x:f>
        <x:v>1890</x:v>
      </x:c>
      <x:c r="N456" s="2" t="n">
        <x:f>G456*J456</x:f>
        <x:v>900</x:v>
      </x:c>
      <x:c r="O456" s="2" t="n">
        <x:f>M456-N456-K456</x:f>
        <x:v>910</x:v>
      </x:c>
      <x:c r="P456" s="1" t="str">
        <x:f>TEXT(B456,"yyyy-mm")</x:f>
        <x:v>2025-10</x:v>
      </x:c>
    </x:row>
    <x:row r="457">
      <x:c r="A457" s="1" t="str">
        <x:v>ORD-0453</x:v>
      </x:c>
      <x:c r="B457" s="4" t="d">
        <x:v>2025-01-23T00:00:00.000Z</x:v>
      </x:c>
      <x:c r="C457" s="1" t="str">
        <x:v>C-035</x:v>
      </x:c>
      <x:c r="D457" s="1" t="str">
        <x:v>East</x:v>
      </x:c>
      <x:c r="E457" s="1" t="str">
        <x:v>Fashion</x:v>
      </x:c>
      <x:c r="F457" s="1" t="str">
        <x:v>T-shirt</x:v>
      </x:c>
      <x:c r="G457" s="1" t="n">
        <x:v>3</x:v>
      </x:c>
      <x:c r="H457" s="2" t="n">
        <x:v>700</x:v>
      </x:c>
      <x:c r="I457" s="3" t="n">
        <x:v>0.05</x:v>
      </x:c>
      <x:c r="J457" s="2" t="n">
        <x:v>300</x:v>
      </x:c>
      <x:c r="K457" s="2" t="n">
        <x:v>50</x:v>
      </x:c>
      <x:c r="L457" s="2" t="n">
        <x:f>G457*H457</x:f>
        <x:v>2100</x:v>
      </x:c>
      <x:c r="M457" s="2" t="n">
        <x:f>ROUND(L457*(1-I457),2)</x:f>
        <x:v>1995</x:v>
      </x:c>
      <x:c r="N457" s="2" t="n">
        <x:f>G457*J457</x:f>
        <x:v>900</x:v>
      </x:c>
      <x:c r="O457" s="2" t="n">
        <x:f>M457-N457-K457</x:f>
        <x:v>1045</x:v>
      </x:c>
      <x:c r="P457" s="1" t="str">
        <x:f>TEXT(B457,"yyyy-mm")</x:f>
        <x:v>2025-01</x:v>
      </x:c>
    </x:row>
    <x:row r="458">
      <x:c r="A458" s="1" t="str">
        <x:v>ORD-0454</x:v>
      </x:c>
      <x:c r="B458" s="4" t="d">
        <x:v>2025-10-15T00:00:00.000Z</x:v>
      </x:c>
      <x:c r="C458" s="1" t="str">
        <x:v>C-215</x:v>
      </x:c>
      <x:c r="D458" s="1" t="str">
        <x:v>South</x:v>
      </x:c>
      <x:c r="E458" s="1" t="str">
        <x:v>Electronics</x:v>
      </x:c>
      <x:c r="F458" s="1" t="str">
        <x:v>Headphones</x:v>
      </x:c>
      <x:c r="G458" s="1" t="n">
        <x:v>4</x:v>
      </x:c>
      <x:c r="H458" s="2" t="n">
        <x:v>2200</x:v>
      </x:c>
      <x:c r="I458" s="3" t="n">
        <x:v>0.15</x:v>
      </x:c>
      <x:c r="J458" s="2" t="n">
        <x:v>1450</x:v>
      </x:c>
      <x:c r="K458" s="2" t="n">
        <x:v>80</x:v>
      </x:c>
      <x:c r="L458" s="2" t="n">
        <x:f>G458*H458</x:f>
        <x:v>8800</x:v>
      </x:c>
      <x:c r="M458" s="2" t="n">
        <x:f>ROUND(L458*(1-I458),2)</x:f>
        <x:v>7480</x:v>
      </x:c>
      <x:c r="N458" s="2" t="n">
        <x:f>G458*J458</x:f>
        <x:v>5800</x:v>
      </x:c>
      <x:c r="O458" s="2" t="n">
        <x:f>M458-N458-K458</x:f>
        <x:v>1600</x:v>
      </x:c>
      <x:c r="P458" s="1" t="str">
        <x:f>TEXT(B458,"yyyy-mm")</x:f>
        <x:v>2025-10</x:v>
      </x:c>
    </x:row>
    <x:row r="459">
      <x:c r="A459" s="1" t="str">
        <x:v>ORD-0455</x:v>
      </x:c>
      <x:c r="B459" s="4" t="d">
        <x:v>2025-11-13T00:00:00.000Z</x:v>
      </x:c>
      <x:c r="C459" s="1" t="str">
        <x:v>C-052</x:v>
      </x:c>
      <x:c r="D459" s="1" t="str">
        <x:v>West</x:v>
      </x:c>
      <x:c r="E459" s="1" t="str">
        <x:v>Fashion</x:v>
      </x:c>
      <x:c r="F459" s="1" t="str">
        <x:v>Backpack</x:v>
      </x:c>
      <x:c r="G459" s="1" t="n">
        <x:v>2</x:v>
      </x:c>
      <x:c r="H459" s="2" t="n">
        <x:v>1300</x:v>
      </x:c>
      <x:c r="I459" s="3" t="n">
        <x:v>0.25</x:v>
      </x:c>
      <x:c r="J459" s="2" t="n">
        <x:v>650</x:v>
      </x:c>
      <x:c r="K459" s="2" t="n">
        <x:v>50</x:v>
      </x:c>
      <x:c r="L459" s="2" t="n">
        <x:f>G459*H459</x:f>
        <x:v>2600</x:v>
      </x:c>
      <x:c r="M459" s="2" t="n">
        <x:f>ROUND(L459*(1-I459),2)</x:f>
        <x:v>1950</x:v>
      </x:c>
      <x:c r="N459" s="2" t="n">
        <x:f>G459*J459</x:f>
        <x:v>1300</x:v>
      </x:c>
      <x:c r="O459" s="2" t="n">
        <x:f>M459-N459-K459</x:f>
        <x:v>600</x:v>
      </x:c>
      <x:c r="P459" s="1" t="str">
        <x:f>TEXT(B459,"yyyy-mm")</x:f>
        <x:v>2025-11</x:v>
      </x:c>
    </x:row>
    <x:row r="460">
      <x:c r="A460" s="1" t="str">
        <x:v>ORD-0456</x:v>
      </x:c>
      <x:c r="B460" s="4" t="d">
        <x:v>2025-07-01T00:00:00.000Z</x:v>
      </x:c>
      <x:c r="C460" s="1" t="str">
        <x:v>C-164</x:v>
      </x:c>
      <x:c r="D460" s="1" t="str">
        <x:v>East</x:v>
      </x:c>
      <x:c r="E460" s="1" t="str">
        <x:v>Electronics</x:v>
      </x:c>
      <x:c r="F460" s="1" t="str">
        <x:v>Headphones</x:v>
      </x:c>
      <x:c r="G460" s="1" t="n">
        <x:v>1</x:v>
      </x:c>
      <x:c r="H460" s="2" t="n">
        <x:v>2200</x:v>
      </x:c>
      <x:c r="I460" s="3" t="n">
        <x:v>0.1</x:v>
      </x:c>
      <x:c r="J460" s="2" t="n">
        <x:v>1450</x:v>
      </x:c>
      <x:c r="K460" s="2" t="n">
        <x:v>50</x:v>
      </x:c>
      <x:c r="L460" s="2" t="n">
        <x:f>G460*H460</x:f>
        <x:v>2200</x:v>
      </x:c>
      <x:c r="M460" s="2" t="n">
        <x:f>ROUND(L460*(1-I460),2)</x:f>
        <x:v>1980</x:v>
      </x:c>
      <x:c r="N460" s="2" t="n">
        <x:f>G460*J460</x:f>
        <x:v>1450</x:v>
      </x:c>
      <x:c r="O460" s="2" t="n">
        <x:f>M460-N460-K460</x:f>
        <x:v>480</x:v>
      </x:c>
      <x:c r="P460" s="1" t="str">
        <x:f>TEXT(B460,"yyyy-mm")</x:f>
        <x:v>2025-07</x:v>
      </x:c>
    </x:row>
    <x:row r="461">
      <x:c r="A461" s="1" t="str">
        <x:v>ORD-0457</x:v>
      </x:c>
      <x:c r="B461" s="4" t="d">
        <x:v>2025-06-24T00:00:00.000Z</x:v>
      </x:c>
      <x:c r="C461" s="1" t="str">
        <x:v>C-039</x:v>
      </x:c>
      <x:c r="D461" s="1" t="str">
        <x:v>North</x:v>
      </x:c>
      <x:c r="E461" s="1" t="str">
        <x:v>Home</x:v>
      </x:c>
      <x:c r="F461" s="1" t="str">
        <x:v>Office chair</x:v>
      </x:c>
      <x:c r="G461" s="1" t="n">
        <x:v>3</x:v>
      </x:c>
      <x:c r="H461" s="2" t="n">
        <x:v>5500</x:v>
      </x:c>
      <x:c r="I461" s="3" t="n">
        <x:v>0.05</x:v>
      </x:c>
      <x:c r="J461" s="2" t="n">
        <x:v>4400</x:v>
      </x:c>
      <x:c r="K461" s="2" t="n">
        <x:v>120</x:v>
      </x:c>
      <x:c r="L461" s="2" t="n">
        <x:f>G461*H461</x:f>
        <x:v>16500</x:v>
      </x:c>
      <x:c r="M461" s="2" t="n">
        <x:f>ROUND(L461*(1-I461),2)</x:f>
        <x:v>15675</x:v>
      </x:c>
      <x:c r="N461" s="2" t="n">
        <x:f>G461*J461</x:f>
        <x:v>13200</x:v>
      </x:c>
      <x:c r="O461" s="2" t="n">
        <x:f>M461-N461-K461</x:f>
        <x:v>2355</x:v>
      </x:c>
      <x:c r="P461" s="1" t="str">
        <x:f>TEXT(B461,"yyyy-mm")</x:f>
        <x:v>2025-06</x:v>
      </x:c>
    </x:row>
    <x:row r="462">
      <x:c r="A462" s="1" t="str">
        <x:v>ORD-0458</x:v>
      </x:c>
      <x:c r="B462" s="4" t="d">
        <x:v>2025-12-01T00:00:00.000Z</x:v>
      </x:c>
      <x:c r="C462" s="1" t="str">
        <x:v>C-221</x:v>
      </x:c>
      <x:c r="D462" s="1" t="str">
        <x:v>South</x:v>
      </x:c>
      <x:c r="E462" s="1" t="str">
        <x:v>Home</x:v>
      </x:c>
      <x:c r="F462" s="1" t="str">
        <x:v>Desk lamp</x:v>
      </x:c>
      <x:c r="G462" s="1" t="n">
        <x:v>4</x:v>
      </x:c>
      <x:c r="H462" s="2" t="n">
        <x:v>1100</x:v>
      </x:c>
      <x:c r="I462" s="3" t="n">
        <x:v>0.35</x:v>
      </x:c>
      <x:c r="J462" s="2" t="n">
        <x:v>650</x:v>
      </x:c>
      <x:c r="K462" s="2" t="n">
        <x:v>50</x:v>
      </x:c>
      <x:c r="L462" s="2" t="n">
        <x:f>G462*H462</x:f>
        <x:v>4400</x:v>
      </x:c>
      <x:c r="M462" s="2" t="n">
        <x:f>ROUND(L462*(1-I462),2)</x:f>
        <x:v>2860</x:v>
      </x:c>
      <x:c r="N462" s="2" t="n">
        <x:f>G462*J462</x:f>
        <x:v>2600</x:v>
      </x:c>
      <x:c r="O462" s="2" t="n">
        <x:f>M462-N462-K462</x:f>
        <x:v>210</x:v>
      </x:c>
      <x:c r="P462" s="1" t="str">
        <x:f>TEXT(B462,"yyyy-mm")</x:f>
        <x:v>2025-12</x:v>
      </x:c>
    </x:row>
    <x:row r="463">
      <x:c r="A463" s="1" t="str">
        <x:v>ORD-0459</x:v>
      </x:c>
      <x:c r="B463" s="4" t="d">
        <x:v>2025-01-07T00:00:00.000Z</x:v>
      </x:c>
      <x:c r="C463" s="1" t="str">
        <x:v>C-210</x:v>
      </x:c>
      <x:c r="D463" s="1" t="str">
        <x:v>East</x:v>
      </x:c>
      <x:c r="E463" s="1" t="str">
        <x:v>Fashion</x:v>
      </x:c>
      <x:c r="F463" s="1" t="str">
        <x:v>Backpack</x:v>
      </x:c>
      <x:c r="G463" s="1" t="n">
        <x:v>3</x:v>
      </x:c>
      <x:c r="H463" s="2" t="n">
        <x:v>1300</x:v>
      </x:c>
      <x:c r="I463" s="3" t="n">
        <x:v>0.05</x:v>
      </x:c>
      <x:c r="J463" s="2" t="n">
        <x:v>650</x:v>
      </x:c>
      <x:c r="K463" s="2" t="n">
        <x:v>80</x:v>
      </x:c>
      <x:c r="L463" s="2" t="n">
        <x:f>G463*H463</x:f>
        <x:v>3900</x:v>
      </x:c>
      <x:c r="M463" s="2" t="n">
        <x:f>ROUND(L463*(1-I463),2)</x:f>
        <x:v>3705</x:v>
      </x:c>
      <x:c r="N463" s="2" t="n">
        <x:f>G463*J463</x:f>
        <x:v>1950</x:v>
      </x:c>
      <x:c r="O463" s="2" t="n">
        <x:f>M463-N463-K463</x:f>
        <x:v>1675</x:v>
      </x:c>
      <x:c r="P463" s="1" t="str">
        <x:f>TEXT(B463,"yyyy-mm")</x:f>
        <x:v>2025-01</x:v>
      </x:c>
    </x:row>
    <x:row r="464">
      <x:c r="A464" s="1" t="str">
        <x:v>ORD-0460</x:v>
      </x:c>
      <x:c r="B464" s="4" t="d">
        <x:v>2025-04-19T00:00:00.000Z</x:v>
      </x:c>
      <x:c r="C464" s="1" t="str">
        <x:v>C-282</x:v>
      </x:c>
      <x:c r="D464" s="1" t="str">
        <x:v>West</x:v>
      </x:c>
      <x:c r="E464" s="1" t="str">
        <x:v>Electronics</x:v>
      </x:c>
      <x:c r="F464" s="1" t="str">
        <x:v>Headphones</x:v>
      </x:c>
      <x:c r="G464" s="1" t="n">
        <x:v>2</x:v>
      </x:c>
      <x:c r="H464" s="2" t="n">
        <x:v>2200</x:v>
      </x:c>
      <x:c r="I464" s="3" t="n">
        <x:v>0.15</x:v>
      </x:c>
      <x:c r="J464" s="2" t="n">
        <x:v>1450</x:v>
      </x:c>
      <x:c r="K464" s="2" t="n">
        <x:v>50</x:v>
      </x:c>
      <x:c r="L464" s="2" t="n">
        <x:f>G464*H464</x:f>
        <x:v>4400</x:v>
      </x:c>
      <x:c r="M464" s="2" t="n">
        <x:f>ROUND(L464*(1-I464),2)</x:f>
        <x:v>3740</x:v>
      </x:c>
      <x:c r="N464" s="2" t="n">
        <x:f>G464*J464</x:f>
        <x:v>2900</x:v>
      </x:c>
      <x:c r="O464" s="2" t="n">
        <x:f>M464-N464-K464</x:f>
        <x:v>790</x:v>
      </x:c>
      <x:c r="P464" s="1" t="str">
        <x:f>TEXT(B464,"yyyy-mm")</x:f>
        <x:v>2025-04</x:v>
      </x:c>
    </x:row>
    <x:row r="465">
      <x:c r="A465" s="1" t="str">
        <x:v>ORD-0461</x:v>
      </x:c>
      <x:c r="B465" s="4" t="d">
        <x:v>2025-06-10T00:00:00.000Z</x:v>
      </x:c>
      <x:c r="C465" s="1" t="str">
        <x:v>C-246</x:v>
      </x:c>
      <x:c r="D465" s="1" t="str">
        <x:v>South</x:v>
      </x:c>
      <x:c r="E465" s="1" t="str">
        <x:v>Home</x:v>
      </x:c>
      <x:c r="F465" s="1" t="str">
        <x:v>Office chair</x:v>
      </x:c>
      <x:c r="G465" s="1" t="n">
        <x:v>1</x:v>
      </x:c>
      <x:c r="H465" s="2" t="n">
        <x:v>5500</x:v>
      </x:c>
      <x:c r="I465" s="3" t="n">
        <x:v>0</x:v>
      </x:c>
      <x:c r="J465" s="2" t="n">
        <x:v>4400</x:v>
      </x:c>
      <x:c r="K465" s="2" t="n">
        <x:v>50</x:v>
      </x:c>
      <x:c r="L465" s="2" t="n">
        <x:f>G465*H465</x:f>
        <x:v>5500</x:v>
      </x:c>
      <x:c r="M465" s="2" t="n">
        <x:f>ROUND(L465*(1-I465),2)</x:f>
        <x:v>5500</x:v>
      </x:c>
      <x:c r="N465" s="2" t="n">
        <x:f>G465*J465</x:f>
        <x:v>4400</x:v>
      </x:c>
      <x:c r="O465" s="2" t="n">
        <x:f>M465-N465-K465</x:f>
        <x:v>1050</x:v>
      </x:c>
      <x:c r="P465" s="1" t="str">
        <x:f>TEXT(B465,"yyyy-mm")</x:f>
        <x:v>2025-06</x:v>
      </x:c>
    </x:row>
    <x:row r="466">
      <x:c r="A466" s="1" t="str">
        <x:v>ORD-0462</x:v>
      </x:c>
      <x:c r="B466" s="4" t="d">
        <x:v>2025-04-16T00:00:00.000Z</x:v>
      </x:c>
      <x:c r="C466" s="1" t="str">
        <x:v>C-060</x:v>
      </x:c>
      <x:c r="D466" s="1" t="str">
        <x:v>East</x:v>
      </x:c>
      <x:c r="E466" s="1" t="str">
        <x:v>Fashion</x:v>
      </x:c>
      <x:c r="F466" s="1" t="str">
        <x:v>Sneakers</x:v>
      </x:c>
      <x:c r="G466" s="1" t="n">
        <x:v>4</x:v>
      </x:c>
      <x:c r="H466" s="2" t="n">
        <x:v>2400</x:v>
      </x:c>
      <x:c r="I466" s="3" t="n">
        <x:v>0</x:v>
      </x:c>
      <x:c r="J466" s="2" t="n">
        <x:v>1200</x:v>
      </x:c>
      <x:c r="K466" s="2" t="n">
        <x:v>80</x:v>
      </x:c>
      <x:c r="L466" s="2" t="n">
        <x:f>G466*H466</x:f>
        <x:v>9600</x:v>
      </x:c>
      <x:c r="M466" s="2" t="n">
        <x:f>ROUND(L466*(1-I466),2)</x:f>
        <x:v>9600</x:v>
      </x:c>
      <x:c r="N466" s="2" t="n">
        <x:f>G466*J466</x:f>
        <x:v>4800</x:v>
      </x:c>
      <x:c r="O466" s="2" t="n">
        <x:f>M466-N466-K466</x:f>
        <x:v>4720</x:v>
      </x:c>
      <x:c r="P466" s="1" t="str">
        <x:f>TEXT(B466,"yyyy-mm")</x:f>
        <x:v>2025-04</x:v>
      </x:c>
    </x:row>
    <x:row r="467">
      <x:c r="A467" s="1" t="str">
        <x:v>ORD-0463</x:v>
      </x:c>
      <x:c r="B467" s="4" t="d">
        <x:v>2025-07-21T00:00:00.000Z</x:v>
      </x:c>
      <x:c r="C467" s="1" t="str">
        <x:v>C-279</x:v>
      </x:c>
      <x:c r="D467" s="1" t="str">
        <x:v>West</x:v>
      </x:c>
      <x:c r="E467" s="1" t="str">
        <x:v>Fashion</x:v>
      </x:c>
      <x:c r="F467" s="1" t="str">
        <x:v>Sneakers</x:v>
      </x:c>
      <x:c r="G467" s="1" t="n">
        <x:v>2</x:v>
      </x:c>
      <x:c r="H467" s="2" t="n">
        <x:v>2400</x:v>
      </x:c>
      <x:c r="I467" s="3" t="n">
        <x:v>0</x:v>
      </x:c>
      <x:c r="J467" s="2" t="n">
        <x:v>1200</x:v>
      </x:c>
      <x:c r="K467" s="2" t="n">
        <x:v>80</x:v>
      </x:c>
      <x:c r="L467" s="2" t="n">
        <x:f>G467*H467</x:f>
        <x:v>4800</x:v>
      </x:c>
      <x:c r="M467" s="2" t="n">
        <x:f>ROUND(L467*(1-I467),2)</x:f>
        <x:v>4800</x:v>
      </x:c>
      <x:c r="N467" s="2" t="n">
        <x:f>G467*J467</x:f>
        <x:v>2400</x:v>
      </x:c>
      <x:c r="O467" s="2" t="n">
        <x:f>M467-N467-K467</x:f>
        <x:v>2320</x:v>
      </x:c>
      <x:c r="P467" s="1" t="str">
        <x:f>TEXT(B467,"yyyy-mm")</x:f>
        <x:v>2025-07</x:v>
      </x:c>
    </x:row>
    <x:row r="468">
      <x:c r="A468" s="1" t="str">
        <x:v>ORD-0464</x:v>
      </x:c>
      <x:c r="B468" s="4" t="d">
        <x:v>2025-11-15T00:00:00.000Z</x:v>
      </x:c>
      <x:c r="C468" s="1" t="str">
        <x:v>C-023</x:v>
      </x:c>
      <x:c r="D468" s="1" t="str">
        <x:v>East</x:v>
      </x:c>
      <x:c r="E468" s="1" t="str">
        <x:v>Fashion</x:v>
      </x:c>
      <x:c r="F468" s="1" t="str">
        <x:v>Backpack</x:v>
      </x:c>
      <x:c r="G468" s="1" t="n">
        <x:v>4</x:v>
      </x:c>
      <x:c r="H468" s="2" t="n">
        <x:v>1300</x:v>
      </x:c>
      <x:c r="I468" s="3" t="n">
        <x:v>0.05</x:v>
      </x:c>
      <x:c r="J468" s="2" t="n">
        <x:v>650</x:v>
      </x:c>
      <x:c r="K468" s="2" t="n">
        <x:v>80</x:v>
      </x:c>
      <x:c r="L468" s="2" t="n">
        <x:f>G468*H468</x:f>
        <x:v>5200</x:v>
      </x:c>
      <x:c r="M468" s="2" t="n">
        <x:f>ROUND(L468*(1-I468),2)</x:f>
        <x:v>4940</x:v>
      </x:c>
      <x:c r="N468" s="2" t="n">
        <x:f>G468*J468</x:f>
        <x:v>2600</x:v>
      </x:c>
      <x:c r="O468" s="2" t="n">
        <x:f>M468-N468-K468</x:f>
        <x:v>2260</x:v>
      </x:c>
      <x:c r="P468" s="1" t="str">
        <x:f>TEXT(B468,"yyyy-mm")</x:f>
        <x:v>2025-11</x:v>
      </x:c>
    </x:row>
    <x:row r="469">
      <x:c r="A469" s="1" t="str">
        <x:v>ORD-0465</x:v>
      </x:c>
      <x:c r="B469" s="4" t="d">
        <x:v>2025-04-02T00:00:00.000Z</x:v>
      </x:c>
      <x:c r="C469" s="1" t="str">
        <x:v>C-078</x:v>
      </x:c>
      <x:c r="D469" s="1" t="str">
        <x:v>North</x:v>
      </x:c>
      <x:c r="E469" s="1" t="str">
        <x:v>Fashion</x:v>
      </x:c>
      <x:c r="F469" s="1" t="str">
        <x:v>Sneakers</x:v>
      </x:c>
      <x:c r="G469" s="1" t="n">
        <x:v>1</x:v>
      </x:c>
      <x:c r="H469" s="2" t="n">
        <x:v>2400</x:v>
      </x:c>
      <x:c r="I469" s="3" t="n">
        <x:v>0.25</x:v>
      </x:c>
      <x:c r="J469" s="2" t="n">
        <x:v>1200</x:v>
      </x:c>
      <x:c r="K469" s="2" t="n">
        <x:v>120</x:v>
      </x:c>
      <x:c r="L469" s="2" t="n">
        <x:f>G469*H469</x:f>
        <x:v>2400</x:v>
      </x:c>
      <x:c r="M469" s="2" t="n">
        <x:f>ROUND(L469*(1-I469),2)</x:f>
        <x:v>1800</x:v>
      </x:c>
      <x:c r="N469" s="2" t="n">
        <x:f>G469*J469</x:f>
        <x:v>1200</x:v>
      </x:c>
      <x:c r="O469" s="2" t="n">
        <x:f>M469-N469-K469</x:f>
        <x:v>480</x:v>
      </x:c>
      <x:c r="P469" s="1" t="str">
        <x:f>TEXT(B469,"yyyy-mm")</x:f>
        <x:v>2025-04</x:v>
      </x:c>
    </x:row>
    <x:row r="470">
      <x:c r="A470" s="1" t="str">
        <x:v>ORD-0466</x:v>
      </x:c>
      <x:c r="B470" s="4" t="d">
        <x:v>2025-06-25T00:00:00.000Z</x:v>
      </x:c>
      <x:c r="C470" s="1" t="str">
        <x:v>C-117</x:v>
      </x:c>
      <x:c r="D470" s="1" t="str">
        <x:v>North</x:v>
      </x:c>
      <x:c r="E470" s="1" t="str">
        <x:v>Home</x:v>
      </x:c>
      <x:c r="F470" s="1" t="str">
        <x:v>Storage box</x:v>
      </x:c>
      <x:c r="G470" s="1" t="n">
        <x:v>4</x:v>
      </x:c>
      <x:c r="H470" s="2" t="n">
        <x:v>800</x:v>
      </x:c>
      <x:c r="I470" s="3" t="n">
        <x:v>0.15</x:v>
      </x:c>
      <x:c r="J470" s="2" t="n">
        <x:v>420</x:v>
      </x:c>
      <x:c r="K470" s="2" t="n">
        <x:v>120</x:v>
      </x:c>
      <x:c r="L470" s="2" t="n">
        <x:f>G470*H470</x:f>
        <x:v>3200</x:v>
      </x:c>
      <x:c r="M470" s="2" t="n">
        <x:f>ROUND(L470*(1-I470),2)</x:f>
        <x:v>2720</x:v>
      </x:c>
      <x:c r="N470" s="2" t="n">
        <x:f>G470*J470</x:f>
        <x:v>1680</x:v>
      </x:c>
      <x:c r="O470" s="2" t="n">
        <x:f>M470-N470-K470</x:f>
        <x:v>920</x:v>
      </x:c>
      <x:c r="P470" s="1" t="str">
        <x:f>TEXT(B470,"yyyy-mm")</x:f>
        <x:v>2025-06</x:v>
      </x:c>
    </x:row>
    <x:row r="471">
      <x:c r="A471" s="1" t="str">
        <x:v>ORD-0467</x:v>
      </x:c>
      <x:c r="B471" s="4" t="d">
        <x:v>2025-07-28T00:00:00.000Z</x:v>
      </x:c>
      <x:c r="C471" s="1" t="str">
        <x:v>C-244</x:v>
      </x:c>
      <x:c r="D471" s="1" t="str">
        <x:v>South</x:v>
      </x:c>
      <x:c r="E471" s="1" t="str">
        <x:v>Home</x:v>
      </x:c>
      <x:c r="F471" s="1" t="str">
        <x:v>Storage box</x:v>
      </x:c>
      <x:c r="G471" s="1" t="n">
        <x:v>4</x:v>
      </x:c>
      <x:c r="H471" s="2" t="n">
        <x:v>800</x:v>
      </x:c>
      <x:c r="I471" s="3" t="n">
        <x:v>0.35</x:v>
      </x:c>
      <x:c r="J471" s="2" t="n">
        <x:v>420</x:v>
      </x:c>
      <x:c r="K471" s="2" t="n">
        <x:v>80</x:v>
      </x:c>
      <x:c r="L471" s="2" t="n">
        <x:f>G471*H471</x:f>
        <x:v>3200</x:v>
      </x:c>
      <x:c r="M471" s="2" t="n">
        <x:f>ROUND(L471*(1-I471),2)</x:f>
        <x:v>2080</x:v>
      </x:c>
      <x:c r="N471" s="2" t="n">
        <x:f>G471*J471</x:f>
        <x:v>1680</x:v>
      </x:c>
      <x:c r="O471" s="2" t="n">
        <x:f>M471-N471-K471</x:f>
        <x:v>320</x:v>
      </x:c>
      <x:c r="P471" s="1" t="str">
        <x:f>TEXT(B471,"yyyy-mm")</x:f>
        <x:v>2025-07</x:v>
      </x:c>
    </x:row>
    <x:row r="472">
      <x:c r="A472" s="1" t="str">
        <x:v>ORD-0468</x:v>
      </x:c>
      <x:c r="B472" s="4" t="d">
        <x:v>2025-02-19T00:00:00.000Z</x:v>
      </x:c>
      <x:c r="C472" s="1" t="str">
        <x:v>C-265</x:v>
      </x:c>
      <x:c r="D472" s="1" t="str">
        <x:v>South</x:v>
      </x:c>
      <x:c r="E472" s="1" t="str">
        <x:v>Electronics</x:v>
      </x:c>
      <x:c r="F472" s="1" t="str">
        <x:v>Headphones</x:v>
      </x:c>
      <x:c r="G472" s="1" t="n">
        <x:v>1</x:v>
      </x:c>
      <x:c r="H472" s="2" t="n">
        <x:v>2200</x:v>
      </x:c>
      <x:c r="I472" s="3" t="n">
        <x:v>0.25</x:v>
      </x:c>
      <x:c r="J472" s="2" t="n">
        <x:v>1450</x:v>
      </x:c>
      <x:c r="K472" s="2" t="n">
        <x:v>80</x:v>
      </x:c>
      <x:c r="L472" s="2" t="n">
        <x:f>G472*H472</x:f>
        <x:v>2200</x:v>
      </x:c>
      <x:c r="M472" s="2" t="n">
        <x:f>ROUND(L472*(1-I472),2)</x:f>
        <x:v>1650</x:v>
      </x:c>
      <x:c r="N472" s="2" t="n">
        <x:f>G472*J472</x:f>
        <x:v>1450</x:v>
      </x:c>
      <x:c r="O472" s="2" t="n">
        <x:f>M472-N472-K472</x:f>
        <x:v>120</x:v>
      </x:c>
      <x:c r="P472" s="1" t="str">
        <x:f>TEXT(B472,"yyyy-mm")</x:f>
        <x:v>2025-02</x:v>
      </x:c>
    </x:row>
    <x:row r="473">
      <x:c r="A473" s="1" t="str">
        <x:v>ORD-0469</x:v>
      </x:c>
      <x:c r="B473" s="4" t="d">
        <x:v>2025-03-26T00:00:00.000Z</x:v>
      </x:c>
      <x:c r="C473" s="1" t="str">
        <x:v>C-099</x:v>
      </x:c>
      <x:c r="D473" s="1" t="str">
        <x:v>South</x:v>
      </x:c>
      <x:c r="E473" s="1" t="str">
        <x:v>Electronics</x:v>
      </x:c>
      <x:c r="F473" s="1" t="str">
        <x:v>Smartwatch</x:v>
      </x:c>
      <x:c r="G473" s="1" t="n">
        <x:v>1</x:v>
      </x:c>
      <x:c r="H473" s="2" t="n">
        <x:v>4200</x:v>
      </x:c>
      <x:c r="I473" s="3" t="n">
        <x:v>0.05</x:v>
      </x:c>
      <x:c r="J473" s="2" t="n">
        <x:v>3000</x:v>
      </x:c>
      <x:c r="K473" s="2" t="n">
        <x:v>80</x:v>
      </x:c>
      <x:c r="L473" s="2" t="n">
        <x:f>G473*H473</x:f>
        <x:v>4200</x:v>
      </x:c>
      <x:c r="M473" s="2" t="n">
        <x:f>ROUND(L473*(1-I473),2)</x:f>
        <x:v>3990</x:v>
      </x:c>
      <x:c r="N473" s="2" t="n">
        <x:f>G473*J473</x:f>
        <x:v>3000</x:v>
      </x:c>
      <x:c r="O473" s="2" t="n">
        <x:f>M473-N473-K473</x:f>
        <x:v>910</x:v>
      </x:c>
      <x:c r="P473" s="1" t="str">
        <x:f>TEXT(B473,"yyyy-mm")</x:f>
        <x:v>2025-03</x:v>
      </x:c>
    </x:row>
    <x:row r="474">
      <x:c r="A474" s="1" t="str">
        <x:v>ORD-0470</x:v>
      </x:c>
      <x:c r="B474" s="4" t="d">
        <x:v>2025-02-27T00:00:00.000Z</x:v>
      </x:c>
      <x:c r="C474" s="1" t="str">
        <x:v>C-076</x:v>
      </x:c>
      <x:c r="D474" s="1" t="str">
        <x:v>East</x:v>
      </x:c>
      <x:c r="E474" s="1" t="str">
        <x:v>Home</x:v>
      </x:c>
      <x:c r="F474" s="1" t="str">
        <x:v>Office chair</x:v>
      </x:c>
      <x:c r="G474" s="1" t="n">
        <x:v>3</x:v>
      </x:c>
      <x:c r="H474" s="2" t="n">
        <x:v>5500</x:v>
      </x:c>
      <x:c r="I474" s="3" t="n">
        <x:v>0.05</x:v>
      </x:c>
      <x:c r="J474" s="2" t="n">
        <x:v>4400</x:v>
      </x:c>
      <x:c r="K474" s="2" t="n">
        <x:v>120</x:v>
      </x:c>
      <x:c r="L474" s="2" t="n">
        <x:f>G474*H474</x:f>
        <x:v>16500</x:v>
      </x:c>
      <x:c r="M474" s="2" t="n">
        <x:f>ROUND(L474*(1-I474),2)</x:f>
        <x:v>15675</x:v>
      </x:c>
      <x:c r="N474" s="2" t="n">
        <x:f>G474*J474</x:f>
        <x:v>13200</x:v>
      </x:c>
      <x:c r="O474" s="2" t="n">
        <x:f>M474-N474-K474</x:f>
        <x:v>2355</x:v>
      </x:c>
      <x:c r="P474" s="1" t="str">
        <x:f>TEXT(B474,"yyyy-mm")</x:f>
        <x:v>2025-02</x:v>
      </x:c>
    </x:row>
    <x:row r="475">
      <x:c r="A475" s="1" t="str">
        <x:v>ORD-0471</x:v>
      </x:c>
      <x:c r="B475" s="4" t="d">
        <x:v>2025-12-13T00:00:00.000Z</x:v>
      </x:c>
      <x:c r="C475" s="1" t="str">
        <x:v>C-285</x:v>
      </x:c>
      <x:c r="D475" s="1" t="str">
        <x:v>West</x:v>
      </x:c>
      <x:c r="E475" s="1" t="str">
        <x:v>Electronics</x:v>
      </x:c>
      <x:c r="F475" s="1" t="str">
        <x:v>Keyboard</x:v>
      </x:c>
      <x:c r="G475" s="1" t="n">
        <x:v>3</x:v>
      </x:c>
      <x:c r="H475" s="2" t="n">
        <x:v>1500</x:v>
      </x:c>
      <x:c r="I475" s="3" t="n">
        <x:v>0</x:v>
      </x:c>
      <x:c r="J475" s="2" t="n">
        <x:v>900</x:v>
      </x:c>
      <x:c r="K475" s="2" t="n">
        <x:v>80</x:v>
      </x:c>
      <x:c r="L475" s="2" t="n">
        <x:f>G475*H475</x:f>
        <x:v>4500</x:v>
      </x:c>
      <x:c r="M475" s="2" t="n">
        <x:f>ROUND(L475*(1-I475),2)</x:f>
        <x:v>4500</x:v>
      </x:c>
      <x:c r="N475" s="2" t="n">
        <x:f>G475*J475</x:f>
        <x:v>2700</x:v>
      </x:c>
      <x:c r="O475" s="2" t="n">
        <x:f>M475-N475-K475</x:f>
        <x:v>1720</x:v>
      </x:c>
      <x:c r="P475" s="1" t="str">
        <x:f>TEXT(B475,"yyyy-mm")</x:f>
        <x:v>2025-12</x:v>
      </x:c>
    </x:row>
    <x:row r="476">
      <x:c r="A476" s="1" t="str">
        <x:v>ORD-0472</x:v>
      </x:c>
      <x:c r="B476" s="4" t="d">
        <x:v>2025-08-20T00:00:00.000Z</x:v>
      </x:c>
      <x:c r="C476" s="1" t="str">
        <x:v>C-268</x:v>
      </x:c>
      <x:c r="D476" s="1" t="str">
        <x:v>West</x:v>
      </x:c>
      <x:c r="E476" s="1" t="str">
        <x:v>Electronics</x:v>
      </x:c>
      <x:c r="F476" s="1" t="str">
        <x:v>Headphones</x:v>
      </x:c>
      <x:c r="G476" s="1" t="n">
        <x:v>1</x:v>
      </x:c>
      <x:c r="H476" s="2" t="n">
        <x:v>2200</x:v>
      </x:c>
      <x:c r="I476" s="3" t="n">
        <x:v>0.35</x:v>
      </x:c>
      <x:c r="J476" s="2" t="n">
        <x:v>1450</x:v>
      </x:c>
      <x:c r="K476" s="2" t="n">
        <x:v>80</x:v>
      </x:c>
      <x:c r="L476" s="2" t="n">
        <x:f>G476*H476</x:f>
        <x:v>2200</x:v>
      </x:c>
      <x:c r="M476" s="2" t="n">
        <x:f>ROUND(L476*(1-I476),2)</x:f>
        <x:v>1430</x:v>
      </x:c>
      <x:c r="N476" s="2" t="n">
        <x:f>G476*J476</x:f>
        <x:v>1450</x:v>
      </x:c>
      <x:c r="O476" s="2" t="n">
        <x:f>M476-N476-K476</x:f>
        <x:v>-100</x:v>
      </x:c>
      <x:c r="P476" s="1" t="str">
        <x:f>TEXT(B476,"yyyy-mm")</x:f>
        <x:v>2025-08</x:v>
      </x:c>
    </x:row>
    <x:row r="477">
      <x:c r="A477" s="1" t="str">
        <x:v>ORD-0473</x:v>
      </x:c>
      <x:c r="B477" s="4" t="d">
        <x:v>2025-03-19T00:00:00.000Z</x:v>
      </x:c>
      <x:c r="C477" s="1" t="str">
        <x:v>C-052</x:v>
      </x:c>
      <x:c r="D477" s="1" t="str">
        <x:v>East</x:v>
      </x:c>
      <x:c r="E477" s="1" t="str">
        <x:v>Electronics</x:v>
      </x:c>
      <x:c r="F477" s="1" t="str">
        <x:v>Keyboard</x:v>
      </x:c>
      <x:c r="G477" s="1" t="n">
        <x:v>3</x:v>
      </x:c>
      <x:c r="H477" s="2" t="n">
        <x:v>1500</x:v>
      </x:c>
      <x:c r="I477" s="3" t="n">
        <x:v>0</x:v>
      </x:c>
      <x:c r="J477" s="2" t="n">
        <x:v>900</x:v>
      </x:c>
      <x:c r="K477" s="2" t="n">
        <x:v>80</x:v>
      </x:c>
      <x:c r="L477" s="2" t="n">
        <x:f>G477*H477</x:f>
        <x:v>4500</x:v>
      </x:c>
      <x:c r="M477" s="2" t="n">
        <x:f>ROUND(L477*(1-I477),2)</x:f>
        <x:v>4500</x:v>
      </x:c>
      <x:c r="N477" s="2" t="n">
        <x:f>G477*J477</x:f>
        <x:v>2700</x:v>
      </x:c>
      <x:c r="O477" s="2" t="n">
        <x:f>M477-N477-K477</x:f>
        <x:v>1720</x:v>
      </x:c>
      <x:c r="P477" s="1" t="str">
        <x:f>TEXT(B477,"yyyy-mm")</x:f>
        <x:v>2025-03</x:v>
      </x:c>
    </x:row>
    <x:row r="478">
      <x:c r="A478" s="1" t="str">
        <x:v>ORD-0474</x:v>
      </x:c>
      <x:c r="B478" s="4" t="d">
        <x:v>2025-04-20T00:00:00.000Z</x:v>
      </x:c>
      <x:c r="C478" s="1" t="str">
        <x:v>C-243</x:v>
      </x:c>
      <x:c r="D478" s="1" t="str">
        <x:v>North</x:v>
      </x:c>
      <x:c r="E478" s="1" t="str">
        <x:v>Home</x:v>
      </x:c>
      <x:c r="F478" s="1" t="str">
        <x:v>Desk lamp</x:v>
      </x:c>
      <x:c r="G478" s="1" t="n">
        <x:v>2</x:v>
      </x:c>
      <x:c r="H478" s="2" t="n">
        <x:v>1100</x:v>
      </x:c>
      <x:c r="I478" s="3" t="n">
        <x:v>0.25</x:v>
      </x:c>
      <x:c r="J478" s="2" t="n">
        <x:v>650</x:v>
      </x:c>
      <x:c r="K478" s="2" t="n">
        <x:v>80</x:v>
      </x:c>
      <x:c r="L478" s="2" t="n">
        <x:f>G478*H478</x:f>
        <x:v>2200</x:v>
      </x:c>
      <x:c r="M478" s="2" t="n">
        <x:f>ROUND(L478*(1-I478),2)</x:f>
        <x:v>1650</x:v>
      </x:c>
      <x:c r="N478" s="2" t="n">
        <x:f>G478*J478</x:f>
        <x:v>1300</x:v>
      </x:c>
      <x:c r="O478" s="2" t="n">
        <x:f>M478-N478-K478</x:f>
        <x:v>270</x:v>
      </x:c>
      <x:c r="P478" s="1" t="str">
        <x:f>TEXT(B478,"yyyy-mm")</x:f>
        <x:v>2025-04</x:v>
      </x:c>
    </x:row>
    <x:row r="479">
      <x:c r="A479" s="1" t="str">
        <x:v>ORD-0475</x:v>
      </x:c>
      <x:c r="B479" s="4" t="d">
        <x:v>2025-06-13T00:00:00.000Z</x:v>
      </x:c>
      <x:c r="C479" s="1" t="str">
        <x:v>C-170</x:v>
      </x:c>
      <x:c r="D479" s="1" t="str">
        <x:v>South</x:v>
      </x:c>
      <x:c r="E479" s="1" t="str">
        <x:v>Home</x:v>
      </x:c>
      <x:c r="F479" s="1" t="str">
        <x:v>Office chair</x:v>
      </x:c>
      <x:c r="G479" s="1" t="n">
        <x:v>1</x:v>
      </x:c>
      <x:c r="H479" s="2" t="n">
        <x:v>5500</x:v>
      </x:c>
      <x:c r="I479" s="3" t="n">
        <x:v>0</x:v>
      </x:c>
      <x:c r="J479" s="2" t="n">
        <x:v>4400</x:v>
      </x:c>
      <x:c r="K479" s="2" t="n">
        <x:v>120</x:v>
      </x:c>
      <x:c r="L479" s="2" t="n">
        <x:f>G479*H479</x:f>
        <x:v>5500</x:v>
      </x:c>
      <x:c r="M479" s="2" t="n">
        <x:f>ROUND(L479*(1-I479),2)</x:f>
        <x:v>5500</x:v>
      </x:c>
      <x:c r="N479" s="2" t="n">
        <x:f>G479*J479</x:f>
        <x:v>4400</x:v>
      </x:c>
      <x:c r="O479" s="2" t="n">
        <x:f>M479-N479-K479</x:f>
        <x:v>980</x:v>
      </x:c>
      <x:c r="P479" s="1" t="str">
        <x:f>TEXT(B479,"yyyy-mm")</x:f>
        <x:v>2025-06</x:v>
      </x:c>
    </x:row>
    <x:row r="480">
      <x:c r="A480" s="1" t="str">
        <x:v>ORD-0476</x:v>
      </x:c>
      <x:c r="B480" s="4" t="d">
        <x:v>2025-07-01T00:00:00.000Z</x:v>
      </x:c>
      <x:c r="C480" s="1" t="str">
        <x:v>C-173</x:v>
      </x:c>
      <x:c r="D480" s="1" t="str">
        <x:v>East</x:v>
      </x:c>
      <x:c r="E480" s="1" t="str">
        <x:v>Fashion</x:v>
      </x:c>
      <x:c r="F480" s="1" t="str">
        <x:v>Sneakers</x:v>
      </x:c>
      <x:c r="G480" s="1" t="n">
        <x:v>3</x:v>
      </x:c>
      <x:c r="H480" s="2" t="n">
        <x:v>2400</x:v>
      </x:c>
      <x:c r="I480" s="3" t="n">
        <x:v>0.1</x:v>
      </x:c>
      <x:c r="J480" s="2" t="n">
        <x:v>1200</x:v>
      </x:c>
      <x:c r="K480" s="2" t="n">
        <x:v>80</x:v>
      </x:c>
      <x:c r="L480" s="2" t="n">
        <x:f>G480*H480</x:f>
        <x:v>7200</x:v>
      </x:c>
      <x:c r="M480" s="2" t="n">
        <x:f>ROUND(L480*(1-I480),2)</x:f>
        <x:v>6480</x:v>
      </x:c>
      <x:c r="N480" s="2" t="n">
        <x:f>G480*J480</x:f>
        <x:v>3600</x:v>
      </x:c>
      <x:c r="O480" s="2" t="n">
        <x:f>M480-N480-K480</x:f>
        <x:v>2800</x:v>
      </x:c>
      <x:c r="P480" s="1" t="str">
        <x:f>TEXT(B480,"yyyy-mm")</x:f>
        <x:v>2025-07</x:v>
      </x:c>
    </x:row>
    <x:row r="481">
      <x:c r="A481" s="1" t="str">
        <x:v>ORD-0477</x:v>
      </x:c>
      <x:c r="B481" s="4" t="d">
        <x:v>2025-11-05T00:00:00.000Z</x:v>
      </x:c>
      <x:c r="C481" s="1" t="str">
        <x:v>C-154</x:v>
      </x:c>
      <x:c r="D481" s="1" t="str">
        <x:v>West</x:v>
      </x:c>
      <x:c r="E481" s="1" t="str">
        <x:v>Electronics</x:v>
      </x:c>
      <x:c r="F481" s="1" t="str">
        <x:v>Keyboard</x:v>
      </x:c>
      <x:c r="G481" s="1" t="n">
        <x:v>3</x:v>
      </x:c>
      <x:c r="H481" s="2" t="n">
        <x:v>1500</x:v>
      </x:c>
      <x:c r="I481" s="3" t="n">
        <x:v>0.05</x:v>
      </x:c>
      <x:c r="J481" s="2" t="n">
        <x:v>900</x:v>
      </x:c>
      <x:c r="K481" s="2" t="n">
        <x:v>80</x:v>
      </x:c>
      <x:c r="L481" s="2" t="n">
        <x:f>G481*H481</x:f>
        <x:v>4500</x:v>
      </x:c>
      <x:c r="M481" s="2" t="n">
        <x:f>ROUND(L481*(1-I481),2)</x:f>
        <x:v>4275</x:v>
      </x:c>
      <x:c r="N481" s="2" t="n">
        <x:f>G481*J481</x:f>
        <x:v>2700</x:v>
      </x:c>
      <x:c r="O481" s="2" t="n">
        <x:f>M481-N481-K481</x:f>
        <x:v>1495</x:v>
      </x:c>
      <x:c r="P481" s="1" t="str">
        <x:f>TEXT(B481,"yyyy-mm")</x:f>
        <x:v>2025-11</x:v>
      </x:c>
    </x:row>
    <x:row r="482">
      <x:c r="A482" s="1" t="str">
        <x:v>ORD-0478</x:v>
      </x:c>
      <x:c r="B482" s="4" t="d">
        <x:v>2025-10-15T00:00:00.000Z</x:v>
      </x:c>
      <x:c r="C482" s="1" t="str">
        <x:v>C-109</x:v>
      </x:c>
      <x:c r="D482" s="1" t="str">
        <x:v>West</x:v>
      </x:c>
      <x:c r="E482" s="1" t="str">
        <x:v>Electronics</x:v>
      </x:c>
      <x:c r="F482" s="1" t="str">
        <x:v>Keyboard</x:v>
      </x:c>
      <x:c r="G482" s="1" t="n">
        <x:v>4</x:v>
      </x:c>
      <x:c r="H482" s="2" t="n">
        <x:v>1500</x:v>
      </x:c>
      <x:c r="I482" s="3" t="n">
        <x:v>0.05</x:v>
      </x:c>
      <x:c r="J482" s="2" t="n">
        <x:v>900</x:v>
      </x:c>
      <x:c r="K482" s="2" t="n">
        <x:v>120</x:v>
      </x:c>
      <x:c r="L482" s="2" t="n">
        <x:f>G482*H482</x:f>
        <x:v>6000</x:v>
      </x:c>
      <x:c r="M482" s="2" t="n">
        <x:f>ROUND(L482*(1-I482),2)</x:f>
        <x:v>5700</x:v>
      </x:c>
      <x:c r="N482" s="2" t="n">
        <x:f>G482*J482</x:f>
        <x:v>3600</x:v>
      </x:c>
      <x:c r="O482" s="2" t="n">
        <x:f>M482-N482-K482</x:f>
        <x:v>1980</x:v>
      </x:c>
      <x:c r="P482" s="1" t="str">
        <x:f>TEXT(B482,"yyyy-mm")</x:f>
        <x:v>2025-10</x:v>
      </x:c>
    </x:row>
    <x:row r="483">
      <x:c r="A483" s="1" t="str">
        <x:v>ORD-0479</x:v>
      </x:c>
      <x:c r="B483" s="4" t="d">
        <x:v>2025-11-26T00:00:00.000Z</x:v>
      </x:c>
      <x:c r="C483" s="1" t="str">
        <x:v>C-082</x:v>
      </x:c>
      <x:c r="D483" s="1" t="str">
        <x:v>North</x:v>
      </x:c>
      <x:c r="E483" s="1" t="str">
        <x:v>Electronics</x:v>
      </x:c>
      <x:c r="F483" s="1" t="str">
        <x:v>Headphones</x:v>
      </x:c>
      <x:c r="G483" s="1" t="n">
        <x:v>3</x:v>
      </x:c>
      <x:c r="H483" s="2" t="n">
        <x:v>2200</x:v>
      </x:c>
      <x:c r="I483" s="3" t="n">
        <x:v>0.25</x:v>
      </x:c>
      <x:c r="J483" s="2" t="n">
        <x:v>1450</x:v>
      </x:c>
      <x:c r="K483" s="2" t="n">
        <x:v>120</x:v>
      </x:c>
      <x:c r="L483" s="2" t="n">
        <x:f>G483*H483</x:f>
        <x:v>6600</x:v>
      </x:c>
      <x:c r="M483" s="2" t="n">
        <x:f>ROUND(L483*(1-I483),2)</x:f>
        <x:v>4950</x:v>
      </x:c>
      <x:c r="N483" s="2" t="n">
        <x:f>G483*J483</x:f>
        <x:v>4350</x:v>
      </x:c>
      <x:c r="O483" s="2" t="n">
        <x:f>M483-N483-K483</x:f>
        <x:v>480</x:v>
      </x:c>
      <x:c r="P483" s="1" t="str">
        <x:f>TEXT(B483,"yyyy-mm")</x:f>
        <x:v>2025-11</x:v>
      </x:c>
    </x:row>
    <x:row r="484">
      <x:c r="A484" s="1" t="str">
        <x:v>ORD-0480</x:v>
      </x:c>
      <x:c r="B484" s="4" t="d">
        <x:v>2025-08-29T00:00:00.000Z</x:v>
      </x:c>
      <x:c r="C484" s="1" t="str">
        <x:v>C-292</x:v>
      </x:c>
      <x:c r="D484" s="1" t="str">
        <x:v>North</x:v>
      </x:c>
      <x:c r="E484" s="1" t="str">
        <x:v>Electronics</x:v>
      </x:c>
      <x:c r="F484" s="1" t="str">
        <x:v>Smartwatch</x:v>
      </x:c>
      <x:c r="G484" s="1" t="n">
        <x:v>2</x:v>
      </x:c>
      <x:c r="H484" s="2" t="n">
        <x:v>4200</x:v>
      </x:c>
      <x:c r="I484" s="3" t="n">
        <x:v>0.25</x:v>
      </x:c>
      <x:c r="J484" s="2" t="n">
        <x:v>3000</x:v>
      </x:c>
      <x:c r="K484" s="2" t="n">
        <x:v>50</x:v>
      </x:c>
      <x:c r="L484" s="2" t="n">
        <x:f>G484*H484</x:f>
        <x:v>8400</x:v>
      </x:c>
      <x:c r="M484" s="2" t="n">
        <x:f>ROUND(L484*(1-I484),2)</x:f>
        <x:v>6300</x:v>
      </x:c>
      <x:c r="N484" s="2" t="n">
        <x:f>G484*J484</x:f>
        <x:v>6000</x:v>
      </x:c>
      <x:c r="O484" s="2" t="n">
        <x:f>M484-N484-K484</x:f>
        <x:v>250</x:v>
      </x:c>
      <x:c r="P484" s="1" t="str">
        <x:f>TEXT(B484,"yyyy-mm")</x:f>
        <x:v>2025-08</x:v>
      </x:c>
    </x:row>
    <x:row r="485">
      <x:c r="A485" s="1" t="str">
        <x:v>ORD-0481</x:v>
      </x:c>
      <x:c r="B485" s="4" t="d">
        <x:v>2025-11-08T00:00:00.000Z</x:v>
      </x:c>
      <x:c r="C485" s="1" t="str">
        <x:v>C-017</x:v>
      </x:c>
      <x:c r="D485" s="1" t="str">
        <x:v>West</x:v>
      </x:c>
      <x:c r="E485" s="1" t="str">
        <x:v>Fashion</x:v>
      </x:c>
      <x:c r="F485" s="1" t="str">
        <x:v>T-shirt</x:v>
      </x:c>
      <x:c r="G485" s="1" t="n">
        <x:v>1</x:v>
      </x:c>
      <x:c r="H485" s="2" t="n">
        <x:v>700</x:v>
      </x:c>
      <x:c r="I485" s="3" t="n">
        <x:v>0</x:v>
      </x:c>
      <x:c r="J485" s="2" t="n">
        <x:v>300</x:v>
      </x:c>
      <x:c r="K485" s="2" t="n">
        <x:v>80</x:v>
      </x:c>
      <x:c r="L485" s="2" t="n">
        <x:f>G485*H485</x:f>
        <x:v>700</x:v>
      </x:c>
      <x:c r="M485" s="2" t="n">
        <x:f>ROUND(L485*(1-I485),2)</x:f>
        <x:v>700</x:v>
      </x:c>
      <x:c r="N485" s="2" t="n">
        <x:f>G485*J485</x:f>
        <x:v>300</x:v>
      </x:c>
      <x:c r="O485" s="2" t="n">
        <x:f>M485-N485-K485</x:f>
        <x:v>320</x:v>
      </x:c>
      <x:c r="P485" s="1" t="str">
        <x:f>TEXT(B485,"yyyy-mm")</x:f>
        <x:v>2025-11</x:v>
      </x:c>
    </x:row>
    <x:row r="486">
      <x:c r="A486" s="1" t="str">
        <x:v>ORD-0482</x:v>
      </x:c>
      <x:c r="B486" s="4" t="d">
        <x:v>2025-10-27T00:00:00.000Z</x:v>
      </x:c>
      <x:c r="C486" s="1" t="str">
        <x:v>C-238</x:v>
      </x:c>
      <x:c r="D486" s="1" t="str">
        <x:v>West</x:v>
      </x:c>
      <x:c r="E486" s="1" t="str">
        <x:v>Fashion</x:v>
      </x:c>
      <x:c r="F486" s="1" t="str">
        <x:v>Sneakers</x:v>
      </x:c>
      <x:c r="G486" s="1" t="n">
        <x:v>1</x:v>
      </x:c>
      <x:c r="H486" s="2" t="n">
        <x:v>2400</x:v>
      </x:c>
      <x:c r="I486" s="3" t="n">
        <x:v>0.1</x:v>
      </x:c>
      <x:c r="J486" s="2" t="n">
        <x:v>1200</x:v>
      </x:c>
      <x:c r="K486" s="2" t="n">
        <x:v>120</x:v>
      </x:c>
      <x:c r="L486" s="2" t="n">
        <x:f>G486*H486</x:f>
        <x:v>2400</x:v>
      </x:c>
      <x:c r="M486" s="2" t="n">
        <x:f>ROUND(L486*(1-I486),2)</x:f>
        <x:v>2160</x:v>
      </x:c>
      <x:c r="N486" s="2" t="n">
        <x:f>G486*J486</x:f>
        <x:v>1200</x:v>
      </x:c>
      <x:c r="O486" s="2" t="n">
        <x:f>M486-N486-K486</x:f>
        <x:v>840</x:v>
      </x:c>
      <x:c r="P486" s="1" t="str">
        <x:f>TEXT(B486,"yyyy-mm")</x:f>
        <x:v>2025-10</x:v>
      </x:c>
    </x:row>
    <x:row r="487">
      <x:c r="A487" s="1" t="str">
        <x:v>ORD-0483</x:v>
      </x:c>
      <x:c r="B487" s="4" t="d">
        <x:v>2025-01-20T00:00:00.000Z</x:v>
      </x:c>
      <x:c r="C487" s="1" t="str">
        <x:v>C-229</x:v>
      </x:c>
      <x:c r="D487" s="1" t="str">
        <x:v>South</x:v>
      </x:c>
      <x:c r="E487" s="1" t="str">
        <x:v>Fashion</x:v>
      </x:c>
      <x:c r="F487" s="1" t="str">
        <x:v>Backpack</x:v>
      </x:c>
      <x:c r="G487" s="1" t="n">
        <x:v>4</x:v>
      </x:c>
      <x:c r="H487" s="2" t="n">
        <x:v>1300</x:v>
      </x:c>
      <x:c r="I487" s="3" t="n">
        <x:v>0.15</x:v>
      </x:c>
      <x:c r="J487" s="2" t="n">
        <x:v>650</x:v>
      </x:c>
      <x:c r="K487" s="2" t="n">
        <x:v>120</x:v>
      </x:c>
      <x:c r="L487" s="2" t="n">
        <x:f>G487*H487</x:f>
        <x:v>5200</x:v>
      </x:c>
      <x:c r="M487" s="2" t="n">
        <x:f>ROUND(L487*(1-I487),2)</x:f>
        <x:v>4420</x:v>
      </x:c>
      <x:c r="N487" s="2" t="n">
        <x:f>G487*J487</x:f>
        <x:v>2600</x:v>
      </x:c>
      <x:c r="O487" s="2" t="n">
        <x:f>M487-N487-K487</x:f>
        <x:v>1700</x:v>
      </x:c>
      <x:c r="P487" s="1" t="str">
        <x:f>TEXT(B487,"yyyy-mm")</x:f>
        <x:v>2025-01</x:v>
      </x:c>
    </x:row>
    <x:row r="488">
      <x:c r="A488" s="1" t="str">
        <x:v>ORD-0484</x:v>
      </x:c>
      <x:c r="B488" s="4" t="d">
        <x:v>2025-08-27T00:00:00.000Z</x:v>
      </x:c>
      <x:c r="C488" s="1" t="str">
        <x:v>C-133</x:v>
      </x:c>
      <x:c r="D488" s="1" t="str">
        <x:v>North</x:v>
      </x:c>
      <x:c r="E488" s="1" t="str">
        <x:v>Fashion</x:v>
      </x:c>
      <x:c r="F488" s="1" t="str">
        <x:v>Backpack</x:v>
      </x:c>
      <x:c r="G488" s="1" t="n">
        <x:v>3</x:v>
      </x:c>
      <x:c r="H488" s="2" t="n">
        <x:v>1300</x:v>
      </x:c>
      <x:c r="I488" s="3" t="n">
        <x:v>0.05</x:v>
      </x:c>
      <x:c r="J488" s="2" t="n">
        <x:v>650</x:v>
      </x:c>
      <x:c r="K488" s="2" t="n">
        <x:v>50</x:v>
      </x:c>
      <x:c r="L488" s="2" t="n">
        <x:f>G488*H488</x:f>
        <x:v>3900</x:v>
      </x:c>
      <x:c r="M488" s="2" t="n">
        <x:f>ROUND(L488*(1-I488),2)</x:f>
        <x:v>3705</x:v>
      </x:c>
      <x:c r="N488" s="2" t="n">
        <x:f>G488*J488</x:f>
        <x:v>1950</x:v>
      </x:c>
      <x:c r="O488" s="2" t="n">
        <x:f>M488-N488-K488</x:f>
        <x:v>1705</x:v>
      </x:c>
      <x:c r="P488" s="1" t="str">
        <x:f>TEXT(B488,"yyyy-mm")</x:f>
        <x:v>2025-08</x:v>
      </x:c>
    </x:row>
    <x:row r="489">
      <x:c r="A489" s="1" t="str">
        <x:v>ORD-0485</x:v>
      </x:c>
      <x:c r="B489" s="4" t="d">
        <x:v>2025-06-25T00:00:00.000Z</x:v>
      </x:c>
      <x:c r="C489" s="1" t="str">
        <x:v>C-110</x:v>
      </x:c>
      <x:c r="D489" s="1" t="str">
        <x:v>South</x:v>
      </x:c>
      <x:c r="E489" s="1" t="str">
        <x:v>Electronics</x:v>
      </x:c>
      <x:c r="F489" s="1" t="str">
        <x:v>Smartwatch</x:v>
      </x:c>
      <x:c r="G489" s="1" t="n">
        <x:v>2</x:v>
      </x:c>
      <x:c r="H489" s="2" t="n">
        <x:v>4200</x:v>
      </x:c>
      <x:c r="I489" s="3" t="n">
        <x:v>0.25</x:v>
      </x:c>
      <x:c r="J489" s="2" t="n">
        <x:v>3000</x:v>
      </x:c>
      <x:c r="K489" s="2" t="n">
        <x:v>120</x:v>
      </x:c>
      <x:c r="L489" s="2" t="n">
        <x:f>G489*H489</x:f>
        <x:v>8400</x:v>
      </x:c>
      <x:c r="M489" s="2" t="n">
        <x:f>ROUND(L489*(1-I489),2)</x:f>
        <x:v>6300</x:v>
      </x:c>
      <x:c r="N489" s="2" t="n">
        <x:f>G489*J489</x:f>
        <x:v>6000</x:v>
      </x:c>
      <x:c r="O489" s="2" t="n">
        <x:f>M489-N489-K489</x:f>
        <x:v>180</x:v>
      </x:c>
      <x:c r="P489" s="1" t="str">
        <x:f>TEXT(B489,"yyyy-mm")</x:f>
        <x:v>2025-06</x:v>
      </x:c>
    </x:row>
    <x:row r="490">
      <x:c r="A490" s="1" t="str">
        <x:v>ORD-0486</x:v>
      </x:c>
      <x:c r="B490" s="4" t="d">
        <x:v>2025-04-01T00:00:00.000Z</x:v>
      </x:c>
      <x:c r="C490" s="1" t="str">
        <x:v>C-005</x:v>
      </x:c>
      <x:c r="D490" s="1" t="str">
        <x:v>West</x:v>
      </x:c>
      <x:c r="E490" s="1" t="str">
        <x:v>Home</x:v>
      </x:c>
      <x:c r="F490" s="1" t="str">
        <x:v>Office chair</x:v>
      </x:c>
      <x:c r="G490" s="1" t="n">
        <x:v>2</x:v>
      </x:c>
      <x:c r="H490" s="2" t="n">
        <x:v>5500</x:v>
      </x:c>
      <x:c r="I490" s="3" t="n">
        <x:v>0.25</x:v>
      </x:c>
      <x:c r="J490" s="2" t="n">
        <x:v>4400</x:v>
      </x:c>
      <x:c r="K490" s="2" t="n">
        <x:v>120</x:v>
      </x:c>
      <x:c r="L490" s="2" t="n">
        <x:f>G490*H490</x:f>
        <x:v>11000</x:v>
      </x:c>
      <x:c r="M490" s="2" t="n">
        <x:f>ROUND(L490*(1-I490),2)</x:f>
        <x:v>8250</x:v>
      </x:c>
      <x:c r="N490" s="2" t="n">
        <x:f>G490*J490</x:f>
        <x:v>8800</x:v>
      </x:c>
      <x:c r="O490" s="2" t="n">
        <x:f>M490-N490-K490</x:f>
        <x:v>-670</x:v>
      </x:c>
      <x:c r="P490" s="1" t="str">
        <x:f>TEXT(B490,"yyyy-mm")</x:f>
        <x:v>2025-04</x:v>
      </x:c>
    </x:row>
    <x:row r="491">
      <x:c r="A491" s="1" t="str">
        <x:v>ORD-0487</x:v>
      </x:c>
      <x:c r="B491" s="4" t="d">
        <x:v>2025-03-09T00:00:00.000Z</x:v>
      </x:c>
      <x:c r="C491" s="1" t="str">
        <x:v>C-157</x:v>
      </x:c>
      <x:c r="D491" s="1" t="str">
        <x:v>East</x:v>
      </x:c>
      <x:c r="E491" s="1" t="str">
        <x:v>Electronics</x:v>
      </x:c>
      <x:c r="F491" s="1" t="str">
        <x:v>Headphones</x:v>
      </x:c>
      <x:c r="G491" s="1" t="n">
        <x:v>4</x:v>
      </x:c>
      <x:c r="H491" s="2" t="n">
        <x:v>2200</x:v>
      </x:c>
      <x:c r="I491" s="3" t="n">
        <x:v>0.05</x:v>
      </x:c>
      <x:c r="J491" s="2" t="n">
        <x:v>1450</x:v>
      </x:c>
      <x:c r="K491" s="2" t="n">
        <x:v>80</x:v>
      </x:c>
      <x:c r="L491" s="2" t="n">
        <x:f>G491*H491</x:f>
        <x:v>8800</x:v>
      </x:c>
      <x:c r="M491" s="2" t="n">
        <x:f>ROUND(L491*(1-I491),2)</x:f>
        <x:v>8360</x:v>
      </x:c>
      <x:c r="N491" s="2" t="n">
        <x:f>G491*J491</x:f>
        <x:v>5800</x:v>
      </x:c>
      <x:c r="O491" s="2" t="n">
        <x:f>M491-N491-K491</x:f>
        <x:v>2480</x:v>
      </x:c>
      <x:c r="P491" s="1" t="str">
        <x:f>TEXT(B491,"yyyy-mm")</x:f>
        <x:v>2025-03</x:v>
      </x:c>
    </x:row>
    <x:row r="492">
      <x:c r="A492" s="1" t="str">
        <x:v>ORD-0488</x:v>
      </x:c>
      <x:c r="B492" s="4" t="d">
        <x:v>2025-11-07T00:00:00.000Z</x:v>
      </x:c>
      <x:c r="C492" s="1" t="str">
        <x:v>C-239</x:v>
      </x:c>
      <x:c r="D492" s="1" t="str">
        <x:v>East</x:v>
      </x:c>
      <x:c r="E492" s="1" t="str">
        <x:v>Home</x:v>
      </x:c>
      <x:c r="F492" s="1" t="str">
        <x:v>Desk lamp</x:v>
      </x:c>
      <x:c r="G492" s="1" t="n">
        <x:v>4</x:v>
      </x:c>
      <x:c r="H492" s="2" t="n">
        <x:v>1100</x:v>
      </x:c>
      <x:c r="I492" s="3" t="n">
        <x:v>0.1</x:v>
      </x:c>
      <x:c r="J492" s="2" t="n">
        <x:v>650</x:v>
      </x:c>
      <x:c r="K492" s="2" t="n">
        <x:v>120</x:v>
      </x:c>
      <x:c r="L492" s="2" t="n">
        <x:f>G492*H492</x:f>
        <x:v>4400</x:v>
      </x:c>
      <x:c r="M492" s="2" t="n">
        <x:f>ROUND(L492*(1-I492),2)</x:f>
        <x:v>3960</x:v>
      </x:c>
      <x:c r="N492" s="2" t="n">
        <x:f>G492*J492</x:f>
        <x:v>2600</x:v>
      </x:c>
      <x:c r="O492" s="2" t="n">
        <x:f>M492-N492-K492</x:f>
        <x:v>1240</x:v>
      </x:c>
      <x:c r="P492" s="1" t="str">
        <x:f>TEXT(B492,"yyyy-mm")</x:f>
        <x:v>2025-11</x:v>
      </x:c>
    </x:row>
    <x:row r="493">
      <x:c r="A493" s="1" t="str">
        <x:v>ORD-0489</x:v>
      </x:c>
      <x:c r="B493" s="4" t="d">
        <x:v>2025-02-27T00:00:00.000Z</x:v>
      </x:c>
      <x:c r="C493" s="1" t="str">
        <x:v>C-192</x:v>
      </x:c>
      <x:c r="D493" s="1" t="str">
        <x:v>East</x:v>
      </x:c>
      <x:c r="E493" s="1" t="str">
        <x:v>Home</x:v>
      </x:c>
      <x:c r="F493" s="1" t="str">
        <x:v>Storage box</x:v>
      </x:c>
      <x:c r="G493" s="1" t="n">
        <x:v>3</x:v>
      </x:c>
      <x:c r="H493" s="2" t="n">
        <x:v>800</x:v>
      </x:c>
      <x:c r="I493" s="3" t="n">
        <x:v>0.35</x:v>
      </x:c>
      <x:c r="J493" s="2" t="n">
        <x:v>420</x:v>
      </x:c>
      <x:c r="K493" s="2" t="n">
        <x:v>120</x:v>
      </x:c>
      <x:c r="L493" s="2" t="n">
        <x:f>G493*H493</x:f>
        <x:v>2400</x:v>
      </x:c>
      <x:c r="M493" s="2" t="n">
        <x:f>ROUND(L493*(1-I493),2)</x:f>
        <x:v>1560</x:v>
      </x:c>
      <x:c r="N493" s="2" t="n">
        <x:f>G493*J493</x:f>
        <x:v>1260</x:v>
      </x:c>
      <x:c r="O493" s="2" t="n">
        <x:f>M493-N493-K493</x:f>
        <x:v>180</x:v>
      </x:c>
      <x:c r="P493" s="1" t="str">
        <x:f>TEXT(B493,"yyyy-mm")</x:f>
        <x:v>2025-02</x:v>
      </x:c>
    </x:row>
    <x:row r="494">
      <x:c r="A494" s="1" t="str">
        <x:v>ORD-0490</x:v>
      </x:c>
      <x:c r="B494" s="4" t="d">
        <x:v>2025-02-09T00:00:00.000Z</x:v>
      </x:c>
      <x:c r="C494" s="1" t="str">
        <x:v>C-167</x:v>
      </x:c>
      <x:c r="D494" s="1" t="str">
        <x:v>East</x:v>
      </x:c>
      <x:c r="E494" s="1" t="str">
        <x:v>Electronics</x:v>
      </x:c>
      <x:c r="F494" s="1" t="str">
        <x:v>Keyboard</x:v>
      </x:c>
      <x:c r="G494" s="1" t="n">
        <x:v>3</x:v>
      </x:c>
      <x:c r="H494" s="2" t="n">
        <x:v>1500</x:v>
      </x:c>
      <x:c r="I494" s="3" t="n">
        <x:v>0.1</x:v>
      </x:c>
      <x:c r="J494" s="2" t="n">
        <x:v>900</x:v>
      </x:c>
      <x:c r="K494" s="2" t="n">
        <x:v>120</x:v>
      </x:c>
      <x:c r="L494" s="2" t="n">
        <x:f>G494*H494</x:f>
        <x:v>4500</x:v>
      </x:c>
      <x:c r="M494" s="2" t="n">
        <x:f>ROUND(L494*(1-I494),2)</x:f>
        <x:v>4050</x:v>
      </x:c>
      <x:c r="N494" s="2" t="n">
        <x:f>G494*J494</x:f>
        <x:v>2700</x:v>
      </x:c>
      <x:c r="O494" s="2" t="n">
        <x:f>M494-N494-K494</x:f>
        <x:v>1230</x:v>
      </x:c>
      <x:c r="P494" s="1" t="str">
        <x:f>TEXT(B494,"yyyy-mm")</x:f>
        <x:v>2025-02</x:v>
      </x:c>
    </x:row>
    <x:row r="495">
      <x:c r="A495" s="1" t="str">
        <x:v>ORD-0491</x:v>
      </x:c>
      <x:c r="B495" s="4" t="d">
        <x:v>2025-10-05T00:00:00.000Z</x:v>
      </x:c>
      <x:c r="C495" s="1" t="str">
        <x:v>C-265</x:v>
      </x:c>
      <x:c r="D495" s="1" t="str">
        <x:v>South</x:v>
      </x:c>
      <x:c r="E495" s="1" t="str">
        <x:v>Fashion</x:v>
      </x:c>
      <x:c r="F495" s="1" t="str">
        <x:v>Sneakers</x:v>
      </x:c>
      <x:c r="G495" s="1" t="n">
        <x:v>1</x:v>
      </x:c>
      <x:c r="H495" s="2" t="n">
        <x:v>2400</x:v>
      </x:c>
      <x:c r="I495" s="3" t="n">
        <x:v>0.05</x:v>
      </x:c>
      <x:c r="J495" s="2" t="n">
        <x:v>1200</x:v>
      </x:c>
      <x:c r="K495" s="2" t="n">
        <x:v>120</x:v>
      </x:c>
      <x:c r="L495" s="2" t="n">
        <x:f>G495*H495</x:f>
        <x:v>2400</x:v>
      </x:c>
      <x:c r="M495" s="2" t="n">
        <x:f>ROUND(L495*(1-I495),2)</x:f>
        <x:v>2280</x:v>
      </x:c>
      <x:c r="N495" s="2" t="n">
        <x:f>G495*J495</x:f>
        <x:v>1200</x:v>
      </x:c>
      <x:c r="O495" s="2" t="n">
        <x:f>M495-N495-K495</x:f>
        <x:v>960</x:v>
      </x:c>
      <x:c r="P495" s="1" t="str">
        <x:f>TEXT(B495,"yyyy-mm")</x:f>
        <x:v>2025-10</x:v>
      </x:c>
    </x:row>
    <x:row r="496">
      <x:c r="A496" s="1" t="str">
        <x:v>ORD-0492</x:v>
      </x:c>
      <x:c r="B496" s="4" t="d">
        <x:v>2025-06-05T00:00:00.000Z</x:v>
      </x:c>
      <x:c r="C496" s="1" t="str">
        <x:v>C-014</x:v>
      </x:c>
      <x:c r="D496" s="1" t="str">
        <x:v>West</x:v>
      </x:c>
      <x:c r="E496" s="1" t="str">
        <x:v>Fashion</x:v>
      </x:c>
      <x:c r="F496" s="1" t="str">
        <x:v>Backpack</x:v>
      </x:c>
      <x:c r="G496" s="1" t="n">
        <x:v>3</x:v>
      </x:c>
      <x:c r="H496" s="2" t="n">
        <x:v>1300</x:v>
      </x:c>
      <x:c r="I496" s="3" t="n">
        <x:v>0.35</x:v>
      </x:c>
      <x:c r="J496" s="2" t="n">
        <x:v>650</x:v>
      </x:c>
      <x:c r="K496" s="2" t="n">
        <x:v>80</x:v>
      </x:c>
      <x:c r="L496" s="2" t="n">
        <x:f>G496*H496</x:f>
        <x:v>3900</x:v>
      </x:c>
      <x:c r="M496" s="2" t="n">
        <x:f>ROUND(L496*(1-I496),2)</x:f>
        <x:v>2535</x:v>
      </x:c>
      <x:c r="N496" s="2" t="n">
        <x:f>G496*J496</x:f>
        <x:v>1950</x:v>
      </x:c>
      <x:c r="O496" s="2" t="n">
        <x:f>M496-N496-K496</x:f>
        <x:v>505</x:v>
      </x:c>
      <x:c r="P496" s="1" t="str">
        <x:f>TEXT(B496,"yyyy-mm")</x:f>
        <x:v>2025-06</x:v>
      </x:c>
    </x:row>
    <x:row r="497">
      <x:c r="A497" s="1" t="str">
        <x:v>ORD-0493</x:v>
      </x:c>
      <x:c r="B497" s="4" t="d">
        <x:v>2025-12-24T00:00:00.000Z</x:v>
      </x:c>
      <x:c r="C497" s="1" t="str">
        <x:v>C-019</x:v>
      </x:c>
      <x:c r="D497" s="1" t="str">
        <x:v>South</x:v>
      </x:c>
      <x:c r="E497" s="1" t="str">
        <x:v>Home</x:v>
      </x:c>
      <x:c r="F497" s="1" t="str">
        <x:v>Office chair</x:v>
      </x:c>
      <x:c r="G497" s="1" t="n">
        <x:v>3</x:v>
      </x:c>
      <x:c r="H497" s="2" t="n">
        <x:v>5500</x:v>
      </x:c>
      <x:c r="I497" s="3" t="n">
        <x:v>0.15</x:v>
      </x:c>
      <x:c r="J497" s="2" t="n">
        <x:v>4400</x:v>
      </x:c>
      <x:c r="K497" s="2" t="n">
        <x:v>120</x:v>
      </x:c>
      <x:c r="L497" s="2" t="n">
        <x:f>G497*H497</x:f>
        <x:v>16500</x:v>
      </x:c>
      <x:c r="M497" s="2" t="n">
        <x:f>ROUND(L497*(1-I497),2)</x:f>
        <x:v>14025</x:v>
      </x:c>
      <x:c r="N497" s="2" t="n">
        <x:f>G497*J497</x:f>
        <x:v>13200</x:v>
      </x:c>
      <x:c r="O497" s="2" t="n">
        <x:f>M497-N497-K497</x:f>
        <x:v>705</x:v>
      </x:c>
      <x:c r="P497" s="1" t="str">
        <x:f>TEXT(B497,"yyyy-mm")</x:f>
        <x:v>2025-12</x:v>
      </x:c>
    </x:row>
    <x:row r="498">
      <x:c r="A498" s="1" t="str">
        <x:v>ORD-0494</x:v>
      </x:c>
      <x:c r="B498" s="4" t="d">
        <x:v>2025-10-26T00:00:00.000Z</x:v>
      </x:c>
      <x:c r="C498" s="1" t="str">
        <x:v>C-244</x:v>
      </x:c>
      <x:c r="D498" s="1" t="str">
        <x:v>East</x:v>
      </x:c>
      <x:c r="E498" s="1" t="str">
        <x:v>Home</x:v>
      </x:c>
      <x:c r="F498" s="1" t="str">
        <x:v>Storage box</x:v>
      </x:c>
      <x:c r="G498" s="1" t="n">
        <x:v>3</x:v>
      </x:c>
      <x:c r="H498" s="2" t="n">
        <x:v>800</x:v>
      </x:c>
      <x:c r="I498" s="3" t="n">
        <x:v>0.35</x:v>
      </x:c>
      <x:c r="J498" s="2" t="n">
        <x:v>420</x:v>
      </x:c>
      <x:c r="K498" s="2" t="n">
        <x:v>50</x:v>
      </x:c>
      <x:c r="L498" s="2" t="n">
        <x:f>G498*H498</x:f>
        <x:v>2400</x:v>
      </x:c>
      <x:c r="M498" s="2" t="n">
        <x:f>ROUND(L498*(1-I498),2)</x:f>
        <x:v>1560</x:v>
      </x:c>
      <x:c r="N498" s="2" t="n">
        <x:f>G498*J498</x:f>
        <x:v>1260</x:v>
      </x:c>
      <x:c r="O498" s="2" t="n">
        <x:f>M498-N498-K498</x:f>
        <x:v>250</x:v>
      </x:c>
      <x:c r="P498" s="1" t="str">
        <x:f>TEXT(B498,"yyyy-mm")</x:f>
        <x:v>2025-10</x:v>
      </x:c>
    </x:row>
    <x:row r="499">
      <x:c r="A499" s="1" t="str">
        <x:v>ORD-0495</x:v>
      </x:c>
      <x:c r="B499" s="4" t="d">
        <x:v>2025-11-10T00:00:00.000Z</x:v>
      </x:c>
      <x:c r="C499" s="1" t="str">
        <x:v>C-050</x:v>
      </x:c>
      <x:c r="D499" s="1" t="str">
        <x:v>West</x:v>
      </x:c>
      <x:c r="E499" s="1" t="str">
        <x:v>Home</x:v>
      </x:c>
      <x:c r="F499" s="1" t="str">
        <x:v>Storage box</x:v>
      </x:c>
      <x:c r="G499" s="1" t="n">
        <x:v>2</x:v>
      </x:c>
      <x:c r="H499" s="2" t="n">
        <x:v>800</x:v>
      </x:c>
      <x:c r="I499" s="3" t="n">
        <x:v>0.05</x:v>
      </x:c>
      <x:c r="J499" s="2" t="n">
        <x:v>420</x:v>
      </x:c>
      <x:c r="K499" s="2" t="n">
        <x:v>120</x:v>
      </x:c>
      <x:c r="L499" s="2" t="n">
        <x:f>G499*H499</x:f>
        <x:v>1600</x:v>
      </x:c>
      <x:c r="M499" s="2" t="n">
        <x:f>ROUND(L499*(1-I499),2)</x:f>
        <x:v>1520</x:v>
      </x:c>
      <x:c r="N499" s="2" t="n">
        <x:f>G499*J499</x:f>
        <x:v>840</x:v>
      </x:c>
      <x:c r="O499" s="2" t="n">
        <x:f>M499-N499-K499</x:f>
        <x:v>560</x:v>
      </x:c>
      <x:c r="P499" s="1" t="str">
        <x:f>TEXT(B499,"yyyy-mm")</x:f>
        <x:v>2025-11</x:v>
      </x:c>
    </x:row>
    <x:row r="500">
      <x:c r="A500" s="1" t="str">
        <x:v>ORD-0496</x:v>
      </x:c>
      <x:c r="B500" s="4" t="d">
        <x:v>2025-04-22T00:00:00.000Z</x:v>
      </x:c>
      <x:c r="C500" s="1" t="str">
        <x:v>C-172</x:v>
      </x:c>
      <x:c r="D500" s="1" t="str">
        <x:v>North</x:v>
      </x:c>
      <x:c r="E500" s="1" t="str">
        <x:v>Home</x:v>
      </x:c>
      <x:c r="F500" s="1" t="str">
        <x:v>Storage box</x:v>
      </x:c>
      <x:c r="G500" s="1" t="n">
        <x:v>2</x:v>
      </x:c>
      <x:c r="H500" s="2" t="n">
        <x:v>800</x:v>
      </x:c>
      <x:c r="I500" s="3" t="n">
        <x:v>0.05</x:v>
      </x:c>
      <x:c r="J500" s="2" t="n">
        <x:v>420</x:v>
      </x:c>
      <x:c r="K500" s="2" t="n">
        <x:v>80</x:v>
      </x:c>
      <x:c r="L500" s="2" t="n">
        <x:f>G500*H500</x:f>
        <x:v>1600</x:v>
      </x:c>
      <x:c r="M500" s="2" t="n">
        <x:f>ROUND(L500*(1-I500),2)</x:f>
        <x:v>1520</x:v>
      </x:c>
      <x:c r="N500" s="2" t="n">
        <x:f>G500*J500</x:f>
        <x:v>840</x:v>
      </x:c>
      <x:c r="O500" s="2" t="n">
        <x:f>M500-N500-K500</x:f>
        <x:v>600</x:v>
      </x:c>
      <x:c r="P500" s="1" t="str">
        <x:f>TEXT(B500,"yyyy-mm")</x:f>
        <x:v>2025-04</x:v>
      </x:c>
    </x:row>
    <x:row r="501">
      <x:c r="A501" s="1" t="str">
        <x:v>ORD-0497</x:v>
      </x:c>
      <x:c r="B501" s="4" t="d">
        <x:v>2025-04-26T00:00:00.000Z</x:v>
      </x:c>
      <x:c r="C501" s="1" t="str">
        <x:v>C-170</x:v>
      </x:c>
      <x:c r="D501" s="1" t="str">
        <x:v>East</x:v>
      </x:c>
      <x:c r="E501" s="1" t="str">
        <x:v>Fashion</x:v>
      </x:c>
      <x:c r="F501" s="1" t="str">
        <x:v>Sneakers</x:v>
      </x:c>
      <x:c r="G501" s="1" t="n">
        <x:v>3</x:v>
      </x:c>
      <x:c r="H501" s="2" t="n">
        <x:v>2400</x:v>
      </x:c>
      <x:c r="I501" s="3" t="n">
        <x:v>0.15</x:v>
      </x:c>
      <x:c r="J501" s="2" t="n">
        <x:v>1200</x:v>
      </x:c>
      <x:c r="K501" s="2" t="n">
        <x:v>120</x:v>
      </x:c>
      <x:c r="L501" s="2" t="n">
        <x:f>G501*H501</x:f>
        <x:v>7200</x:v>
      </x:c>
      <x:c r="M501" s="2" t="n">
        <x:f>ROUND(L501*(1-I501),2)</x:f>
        <x:v>6120</x:v>
      </x:c>
      <x:c r="N501" s="2" t="n">
        <x:f>G501*J501</x:f>
        <x:v>3600</x:v>
      </x:c>
      <x:c r="O501" s="2" t="n">
        <x:f>M501-N501-K501</x:f>
        <x:v>2400</x:v>
      </x:c>
      <x:c r="P501" s="1" t="str">
        <x:f>TEXT(B501,"yyyy-mm")</x:f>
        <x:v>2025-04</x:v>
      </x:c>
    </x:row>
    <x:row r="502">
      <x:c r="A502" s="1" t="str">
        <x:v>ORD-0498</x:v>
      </x:c>
      <x:c r="B502" s="4" t="d">
        <x:v>2025-05-02T00:00:00.000Z</x:v>
      </x:c>
      <x:c r="C502" s="1" t="str">
        <x:v>C-299</x:v>
      </x:c>
      <x:c r="D502" s="1" t="str">
        <x:v>North</x:v>
      </x:c>
      <x:c r="E502" s="1" t="str">
        <x:v>Electronics</x:v>
      </x:c>
      <x:c r="F502" s="1" t="str">
        <x:v>Keyboard</x:v>
      </x:c>
      <x:c r="G502" s="1" t="n">
        <x:v>4</x:v>
      </x:c>
      <x:c r="H502" s="2" t="n">
        <x:v>1500</x:v>
      </x:c>
      <x:c r="I502" s="3" t="n">
        <x:v>0.15</x:v>
      </x:c>
      <x:c r="J502" s="2" t="n">
        <x:v>900</x:v>
      </x:c>
      <x:c r="K502" s="2" t="n">
        <x:v>50</x:v>
      </x:c>
      <x:c r="L502" s="2" t="n">
        <x:f>G502*H502</x:f>
        <x:v>6000</x:v>
      </x:c>
      <x:c r="M502" s="2" t="n">
        <x:f>ROUND(L502*(1-I502),2)</x:f>
        <x:v>5100</x:v>
      </x:c>
      <x:c r="N502" s="2" t="n">
        <x:f>G502*J502</x:f>
        <x:v>3600</x:v>
      </x:c>
      <x:c r="O502" s="2" t="n">
        <x:f>M502-N502-K502</x:f>
        <x:v>1450</x:v>
      </x:c>
      <x:c r="P502" s="1" t="str">
        <x:f>TEXT(B502,"yyyy-mm")</x:f>
        <x:v>2025-05</x:v>
      </x:c>
    </x:row>
    <x:row r="503">
      <x:c r="A503" s="1" t="str">
        <x:v>ORD-0499</x:v>
      </x:c>
      <x:c r="B503" s="4" t="d">
        <x:v>2025-08-10T00:00:00.000Z</x:v>
      </x:c>
      <x:c r="C503" s="1" t="str">
        <x:v>C-212</x:v>
      </x:c>
      <x:c r="D503" s="1" t="str">
        <x:v>North</x:v>
      </x:c>
      <x:c r="E503" s="1" t="str">
        <x:v>Home</x:v>
      </x:c>
      <x:c r="F503" s="1" t="str">
        <x:v>Office chair</x:v>
      </x:c>
      <x:c r="G503" s="1" t="n">
        <x:v>2</x:v>
      </x:c>
      <x:c r="H503" s="2" t="n">
        <x:v>5500</x:v>
      </x:c>
      <x:c r="I503" s="3" t="n">
        <x:v>0.25</x:v>
      </x:c>
      <x:c r="J503" s="2" t="n">
        <x:v>4400</x:v>
      </x:c>
      <x:c r="K503" s="2" t="n">
        <x:v>50</x:v>
      </x:c>
      <x:c r="L503" s="2" t="n">
        <x:f>G503*H503</x:f>
        <x:v>11000</x:v>
      </x:c>
      <x:c r="M503" s="2" t="n">
        <x:f>ROUND(L503*(1-I503),2)</x:f>
        <x:v>8250</x:v>
      </x:c>
      <x:c r="N503" s="2" t="n">
        <x:f>G503*J503</x:f>
        <x:v>8800</x:v>
      </x:c>
      <x:c r="O503" s="2" t="n">
        <x:f>M503-N503-K503</x:f>
        <x:v>-600</x:v>
      </x:c>
      <x:c r="P503" s="1" t="str">
        <x:f>TEXT(B503,"yyyy-mm")</x:f>
        <x:v>2025-08</x:v>
      </x:c>
    </x:row>
    <x:row r="504">
      <x:c r="A504" s="1" t="str">
        <x:v>ORD-0500</x:v>
      </x:c>
      <x:c r="B504" s="4" t="d">
        <x:v>2025-12-19T00:00:00.000Z</x:v>
      </x:c>
      <x:c r="C504" s="1" t="str">
        <x:v>C-235</x:v>
      </x:c>
      <x:c r="D504" s="1" t="str">
        <x:v>South</x:v>
      </x:c>
      <x:c r="E504" s="1" t="str">
        <x:v>Fashion</x:v>
      </x:c>
      <x:c r="F504" s="1" t="str">
        <x:v>Backpack</x:v>
      </x:c>
      <x:c r="G504" s="1" t="n">
        <x:v>3</x:v>
      </x:c>
      <x:c r="H504" s="2" t="n">
        <x:v>1300</x:v>
      </x:c>
      <x:c r="I504" s="3" t="n">
        <x:v>0.15</x:v>
      </x:c>
      <x:c r="J504" s="2" t="n">
        <x:v>650</x:v>
      </x:c>
      <x:c r="K504" s="2" t="n">
        <x:v>120</x:v>
      </x:c>
      <x:c r="L504" s="2" t="n">
        <x:f>G504*H504</x:f>
        <x:v>3900</x:v>
      </x:c>
      <x:c r="M504" s="2" t="n">
        <x:f>ROUND(L504*(1-I504),2)</x:f>
        <x:v>3315</x:v>
      </x:c>
      <x:c r="N504" s="2" t="n">
        <x:f>G504*J504</x:f>
        <x:v>1950</x:v>
      </x:c>
      <x:c r="O504" s="2" t="n">
        <x:f>M504-N504-K504</x:f>
        <x:v>1245</x:v>
      </x:c>
      <x:c r="P504" s="1" t="str">
        <x:f>TEXT(B504,"yyyy-mm")</x:f>
        <x:v>2025-12</x:v>
      </x:c>
    </x:row>
    <x:row r="505">
      <x:c r="A505" s="1" t="str">
        <x:v>ORD-0501</x:v>
      </x:c>
      <x:c r="B505" s="4" t="d">
        <x:v>2025-03-11T00:00:00.000Z</x:v>
      </x:c>
      <x:c r="C505" s="1" t="str">
        <x:v>C-091</x:v>
      </x:c>
      <x:c r="D505" s="1" t="str">
        <x:v>East</x:v>
      </x:c>
      <x:c r="E505" s="1" t="str">
        <x:v>Electronics</x:v>
      </x:c>
      <x:c r="F505" s="1" t="str">
        <x:v>Keyboard</x:v>
      </x:c>
      <x:c r="G505" s="1" t="n">
        <x:v>1</x:v>
      </x:c>
      <x:c r="H505" s="2" t="n">
        <x:v>1500</x:v>
      </x:c>
      <x:c r="I505" s="3" t="n">
        <x:v>0.15</x:v>
      </x:c>
      <x:c r="J505" s="2" t="n">
        <x:v>900</x:v>
      </x:c>
      <x:c r="K505" s="2" t="n">
        <x:v>50</x:v>
      </x:c>
      <x:c r="L505" s="2" t="n">
        <x:f>G505*H505</x:f>
        <x:v>1500</x:v>
      </x:c>
      <x:c r="M505" s="2" t="n">
        <x:f>ROUND(L505*(1-I505),2)</x:f>
        <x:v>1275</x:v>
      </x:c>
      <x:c r="N505" s="2" t="n">
        <x:f>G505*J505</x:f>
        <x:v>900</x:v>
      </x:c>
      <x:c r="O505" s="2" t="n">
        <x:f>M505-N505-K505</x:f>
        <x:v>325</x:v>
      </x:c>
      <x:c r="P505" s="1" t="str">
        <x:f>TEXT(B505,"yyyy-mm")</x:f>
        <x:v>2025-03</x:v>
      </x:c>
    </x:row>
    <x:row r="506">
      <x:c r="A506" s="1" t="str">
        <x:v>ORD-0502</x:v>
      </x:c>
      <x:c r="B506" s="4" t="d">
        <x:v>2025-07-19T00:00:00.000Z</x:v>
      </x:c>
      <x:c r="C506" s="1" t="str">
        <x:v>C-082</x:v>
      </x:c>
      <x:c r="D506" s="1" t="str">
        <x:v>West</x:v>
      </x:c>
      <x:c r="E506" s="1" t="str">
        <x:v>Fashion</x:v>
      </x:c>
      <x:c r="F506" s="1" t="str">
        <x:v>T-shirt</x:v>
      </x:c>
      <x:c r="G506" s="1" t="n">
        <x:v>1</x:v>
      </x:c>
      <x:c r="H506" s="2" t="n">
        <x:v>700</x:v>
      </x:c>
      <x:c r="I506" s="3" t="n">
        <x:v>0.05</x:v>
      </x:c>
      <x:c r="J506" s="2" t="n">
        <x:v>300</x:v>
      </x:c>
      <x:c r="K506" s="2" t="n">
        <x:v>50</x:v>
      </x:c>
      <x:c r="L506" s="2" t="n">
        <x:f>G506*H506</x:f>
        <x:v>700</x:v>
      </x:c>
      <x:c r="M506" s="2" t="n">
        <x:f>ROUND(L506*(1-I506),2)</x:f>
        <x:v>665</x:v>
      </x:c>
      <x:c r="N506" s="2" t="n">
        <x:f>G506*J506</x:f>
        <x:v>300</x:v>
      </x:c>
      <x:c r="O506" s="2" t="n">
        <x:f>M506-N506-K506</x:f>
        <x:v>315</x:v>
      </x:c>
      <x:c r="P506" s="1" t="str">
        <x:f>TEXT(B506,"yyyy-mm")</x:f>
        <x:v>2025-07</x:v>
      </x:c>
    </x:row>
    <x:row r="507">
      <x:c r="A507" s="1" t="str">
        <x:v>ORD-0503</x:v>
      </x:c>
      <x:c r="B507" s="4" t="d">
        <x:v>2025-09-14T00:00:00.000Z</x:v>
      </x:c>
      <x:c r="C507" s="1" t="str">
        <x:v>C-245</x:v>
      </x:c>
      <x:c r="D507" s="1" t="str">
        <x:v>West</x:v>
      </x:c>
      <x:c r="E507" s="1" t="str">
        <x:v>Home</x:v>
      </x:c>
      <x:c r="F507" s="1" t="str">
        <x:v>Office chair</x:v>
      </x:c>
      <x:c r="G507" s="1" t="n">
        <x:v>1</x:v>
      </x:c>
      <x:c r="H507" s="2" t="n">
        <x:v>5500</x:v>
      </x:c>
      <x:c r="I507" s="3" t="n">
        <x:v>0.15</x:v>
      </x:c>
      <x:c r="J507" s="2" t="n">
        <x:v>4400</x:v>
      </x:c>
      <x:c r="K507" s="2" t="n">
        <x:v>50</x:v>
      </x:c>
      <x:c r="L507" s="2" t="n">
        <x:f>G507*H507</x:f>
        <x:v>5500</x:v>
      </x:c>
      <x:c r="M507" s="2" t="n">
        <x:f>ROUND(L507*(1-I507),2)</x:f>
        <x:v>4675</x:v>
      </x:c>
      <x:c r="N507" s="2" t="n">
        <x:f>G507*J507</x:f>
        <x:v>4400</x:v>
      </x:c>
      <x:c r="O507" s="2" t="n">
        <x:f>M507-N507-K507</x:f>
        <x:v>225</x:v>
      </x:c>
      <x:c r="P507" s="1" t="str">
        <x:f>TEXT(B507,"yyyy-mm")</x:f>
        <x:v>2025-09</x:v>
      </x:c>
    </x:row>
    <x:row r="508">
      <x:c r="A508" s="1" t="str">
        <x:v>ORD-0504</x:v>
      </x:c>
      <x:c r="B508" s="4" t="d">
        <x:v>2025-08-29T00:00:00.000Z</x:v>
      </x:c>
      <x:c r="C508" s="1" t="str">
        <x:v>C-165</x:v>
      </x:c>
      <x:c r="D508" s="1" t="str">
        <x:v>South</x:v>
      </x:c>
      <x:c r="E508" s="1" t="str">
        <x:v>Fashion</x:v>
      </x:c>
      <x:c r="F508" s="1" t="str">
        <x:v>Backpack</x:v>
      </x:c>
      <x:c r="G508" s="1" t="n">
        <x:v>1</x:v>
      </x:c>
      <x:c r="H508" s="2" t="n">
        <x:v>1300</x:v>
      </x:c>
      <x:c r="I508" s="3" t="n">
        <x:v>0</x:v>
      </x:c>
      <x:c r="J508" s="2" t="n">
        <x:v>650</x:v>
      </x:c>
      <x:c r="K508" s="2" t="n">
        <x:v>120</x:v>
      </x:c>
      <x:c r="L508" s="2" t="n">
        <x:f>G508*H508</x:f>
        <x:v>1300</x:v>
      </x:c>
      <x:c r="M508" s="2" t="n">
        <x:f>ROUND(L508*(1-I508),2)</x:f>
        <x:v>1300</x:v>
      </x:c>
      <x:c r="N508" s="2" t="n">
        <x:f>G508*J508</x:f>
        <x:v>650</x:v>
      </x:c>
      <x:c r="O508" s="2" t="n">
        <x:f>M508-N508-K508</x:f>
        <x:v>530</x:v>
      </x:c>
      <x:c r="P508" s="1" t="str">
        <x:f>TEXT(B508,"yyyy-mm")</x:f>
        <x:v>2025-08</x:v>
      </x:c>
    </x:row>
    <x:row r="509">
      <x:c r="A509" s="1" t="str">
        <x:v>ORD-0505</x:v>
      </x:c>
      <x:c r="B509" s="4" t="d">
        <x:v>2025-01-23T00:00:00.000Z</x:v>
      </x:c>
      <x:c r="C509" s="1" t="str">
        <x:v>C-177</x:v>
      </x:c>
      <x:c r="D509" s="1" t="str">
        <x:v>East</x:v>
      </x:c>
      <x:c r="E509" s="1" t="str">
        <x:v>Fashion</x:v>
      </x:c>
      <x:c r="F509" s="1" t="str">
        <x:v>T-shirt</x:v>
      </x:c>
      <x:c r="G509" s="1" t="n">
        <x:v>2</x:v>
      </x:c>
      <x:c r="H509" s="2" t="n">
        <x:v>700</x:v>
      </x:c>
      <x:c r="I509" s="3" t="n">
        <x:v>0.05</x:v>
      </x:c>
      <x:c r="J509" s="2" t="n">
        <x:v>300</x:v>
      </x:c>
      <x:c r="K509" s="2" t="n">
        <x:v>50</x:v>
      </x:c>
      <x:c r="L509" s="2" t="n">
        <x:f>G509*H509</x:f>
        <x:v>1400</x:v>
      </x:c>
      <x:c r="M509" s="2" t="n">
        <x:f>ROUND(L509*(1-I509),2)</x:f>
        <x:v>1330</x:v>
      </x:c>
      <x:c r="N509" s="2" t="n">
        <x:f>G509*J509</x:f>
        <x:v>600</x:v>
      </x:c>
      <x:c r="O509" s="2" t="n">
        <x:f>M509-N509-K509</x:f>
        <x:v>680</x:v>
      </x:c>
      <x:c r="P509" s="1" t="str">
        <x:f>TEXT(B509,"yyyy-mm")</x:f>
        <x:v>2025-01</x:v>
      </x:c>
    </x:row>
    <x:row r="510">
      <x:c r="A510" s="1" t="str">
        <x:v>ORD-0506</x:v>
      </x:c>
      <x:c r="B510" s="4" t="d">
        <x:v>2025-06-03T00:00:00.000Z</x:v>
      </x:c>
      <x:c r="C510" s="1" t="str">
        <x:v>C-024</x:v>
      </x:c>
      <x:c r="D510" s="1" t="str">
        <x:v>East</x:v>
      </x:c>
      <x:c r="E510" s="1" t="str">
        <x:v>Fashion</x:v>
      </x:c>
      <x:c r="F510" s="1" t="str">
        <x:v>Sneakers</x:v>
      </x:c>
      <x:c r="G510" s="1" t="n">
        <x:v>3</x:v>
      </x:c>
      <x:c r="H510" s="2" t="n">
        <x:v>2400</x:v>
      </x:c>
      <x:c r="I510" s="3" t="n">
        <x:v>0.05</x:v>
      </x:c>
      <x:c r="J510" s="2" t="n">
        <x:v>1200</x:v>
      </x:c>
      <x:c r="K510" s="2" t="n">
        <x:v>80</x:v>
      </x:c>
      <x:c r="L510" s="2" t="n">
        <x:f>G510*H510</x:f>
        <x:v>7200</x:v>
      </x:c>
      <x:c r="M510" s="2" t="n">
        <x:f>ROUND(L510*(1-I510),2)</x:f>
        <x:v>6840</x:v>
      </x:c>
      <x:c r="N510" s="2" t="n">
        <x:f>G510*J510</x:f>
        <x:v>3600</x:v>
      </x:c>
      <x:c r="O510" s="2" t="n">
        <x:f>M510-N510-K510</x:f>
        <x:v>3160</x:v>
      </x:c>
      <x:c r="P510" s="1" t="str">
        <x:f>TEXT(B510,"yyyy-mm")</x:f>
        <x:v>2025-06</x:v>
      </x:c>
    </x:row>
    <x:row r="511">
      <x:c r="A511" s="1" t="str">
        <x:v>ORD-0507</x:v>
      </x:c>
      <x:c r="B511" s="4" t="d">
        <x:v>2025-10-14T00:00:00.000Z</x:v>
      </x:c>
      <x:c r="C511" s="1" t="str">
        <x:v>C-069</x:v>
      </x:c>
      <x:c r="D511" s="1" t="str">
        <x:v>East</x:v>
      </x:c>
      <x:c r="E511" s="1" t="str">
        <x:v>Home</x:v>
      </x:c>
      <x:c r="F511" s="1" t="str">
        <x:v>Storage box</x:v>
      </x:c>
      <x:c r="G511" s="1" t="n">
        <x:v>4</x:v>
      </x:c>
      <x:c r="H511" s="2" t="n">
        <x:v>800</x:v>
      </x:c>
      <x:c r="I511" s="3" t="n">
        <x:v>0.1</x:v>
      </x:c>
      <x:c r="J511" s="2" t="n">
        <x:v>420</x:v>
      </x:c>
      <x:c r="K511" s="2" t="n">
        <x:v>80</x:v>
      </x:c>
      <x:c r="L511" s="2" t="n">
        <x:f>G511*H511</x:f>
        <x:v>3200</x:v>
      </x:c>
      <x:c r="M511" s="2" t="n">
        <x:f>ROUND(L511*(1-I511),2)</x:f>
        <x:v>2880</x:v>
      </x:c>
      <x:c r="N511" s="2" t="n">
        <x:f>G511*J511</x:f>
        <x:v>1680</x:v>
      </x:c>
      <x:c r="O511" s="2" t="n">
        <x:f>M511-N511-K511</x:f>
        <x:v>1120</x:v>
      </x:c>
      <x:c r="P511" s="1" t="str">
        <x:f>TEXT(B511,"yyyy-mm")</x:f>
        <x:v>2025-10</x:v>
      </x:c>
    </x:row>
    <x:row r="512">
      <x:c r="A512" s="1" t="str">
        <x:v>ORD-0508</x:v>
      </x:c>
      <x:c r="B512" s="4" t="d">
        <x:v>2025-10-01T00:00:00.000Z</x:v>
      </x:c>
      <x:c r="C512" s="1" t="str">
        <x:v>C-117</x:v>
      </x:c>
      <x:c r="D512" s="1" t="str">
        <x:v>South</x:v>
      </x:c>
      <x:c r="E512" s="1" t="str">
        <x:v>Electronics</x:v>
      </x:c>
      <x:c r="F512" s="1" t="str">
        <x:v>Smartwatch</x:v>
      </x:c>
      <x:c r="G512" s="1" t="n">
        <x:v>2</x:v>
      </x:c>
      <x:c r="H512" s="2" t="n">
        <x:v>4200</x:v>
      </x:c>
      <x:c r="I512" s="3" t="n">
        <x:v>0.15</x:v>
      </x:c>
      <x:c r="J512" s="2" t="n">
        <x:v>3000</x:v>
      </x:c>
      <x:c r="K512" s="2" t="n">
        <x:v>50</x:v>
      </x:c>
      <x:c r="L512" s="2" t="n">
        <x:f>G512*H512</x:f>
        <x:v>8400</x:v>
      </x:c>
      <x:c r="M512" s="2" t="n">
        <x:f>ROUND(L512*(1-I512),2)</x:f>
        <x:v>7140</x:v>
      </x:c>
      <x:c r="N512" s="2" t="n">
        <x:f>G512*J512</x:f>
        <x:v>6000</x:v>
      </x:c>
      <x:c r="O512" s="2" t="n">
        <x:f>M512-N512-K512</x:f>
        <x:v>1090</x:v>
      </x:c>
      <x:c r="P512" s="1" t="str">
        <x:f>TEXT(B512,"yyyy-mm")</x:f>
        <x:v>2025-10</x:v>
      </x:c>
    </x:row>
    <x:row r="513">
      <x:c r="A513" s="1" t="str">
        <x:v>ORD-0509</x:v>
      </x:c>
      <x:c r="B513" s="4" t="d">
        <x:v>2025-10-04T00:00:00.000Z</x:v>
      </x:c>
      <x:c r="C513" s="1" t="str">
        <x:v>C-188</x:v>
      </x:c>
      <x:c r="D513" s="1" t="str">
        <x:v>North</x:v>
      </x:c>
      <x:c r="E513" s="1" t="str">
        <x:v>Home</x:v>
      </x:c>
      <x:c r="F513" s="1" t="str">
        <x:v>Storage box</x:v>
      </x:c>
      <x:c r="G513" s="1" t="n">
        <x:v>4</x:v>
      </x:c>
      <x:c r="H513" s="2" t="n">
        <x:v>800</x:v>
      </x:c>
      <x:c r="I513" s="3" t="n">
        <x:v>0.05</x:v>
      </x:c>
      <x:c r="J513" s="2" t="n">
        <x:v>420</x:v>
      </x:c>
      <x:c r="K513" s="2" t="n">
        <x:v>120</x:v>
      </x:c>
      <x:c r="L513" s="2" t="n">
        <x:f>G513*H513</x:f>
        <x:v>3200</x:v>
      </x:c>
      <x:c r="M513" s="2" t="n">
        <x:f>ROUND(L513*(1-I513),2)</x:f>
        <x:v>3040</x:v>
      </x:c>
      <x:c r="N513" s="2" t="n">
        <x:f>G513*J513</x:f>
        <x:v>1680</x:v>
      </x:c>
      <x:c r="O513" s="2" t="n">
        <x:f>M513-N513-K513</x:f>
        <x:v>1240</x:v>
      </x:c>
      <x:c r="P513" s="1" t="str">
        <x:f>TEXT(B513,"yyyy-mm")</x:f>
        <x:v>2025-10</x:v>
      </x:c>
    </x:row>
    <x:row r="514">
      <x:c r="A514" s="1" t="str">
        <x:v>ORD-0510</x:v>
      </x:c>
      <x:c r="B514" s="4" t="d">
        <x:v>2025-04-02T00:00:00.000Z</x:v>
      </x:c>
      <x:c r="C514" s="1" t="str">
        <x:v>C-025</x:v>
      </x:c>
      <x:c r="D514" s="1" t="str">
        <x:v>North</x:v>
      </x:c>
      <x:c r="E514" s="1" t="str">
        <x:v>Home</x:v>
      </x:c>
      <x:c r="F514" s="1" t="str">
        <x:v>Storage box</x:v>
      </x:c>
      <x:c r="G514" s="1" t="n">
        <x:v>1</x:v>
      </x:c>
      <x:c r="H514" s="2" t="n">
        <x:v>800</x:v>
      </x:c>
      <x:c r="I514" s="3" t="n">
        <x:v>0.25</x:v>
      </x:c>
      <x:c r="J514" s="2" t="n">
        <x:v>420</x:v>
      </x:c>
      <x:c r="K514" s="2" t="n">
        <x:v>50</x:v>
      </x:c>
      <x:c r="L514" s="2" t="n">
        <x:f>G514*H514</x:f>
        <x:v>800</x:v>
      </x:c>
      <x:c r="M514" s="2" t="n">
        <x:f>ROUND(L514*(1-I514),2)</x:f>
        <x:v>600</x:v>
      </x:c>
      <x:c r="N514" s="2" t="n">
        <x:f>G514*J514</x:f>
        <x:v>420</x:v>
      </x:c>
      <x:c r="O514" s="2" t="n">
        <x:f>M514-N514-K514</x:f>
        <x:v>130</x:v>
      </x:c>
      <x:c r="P514" s="1" t="str">
        <x:f>TEXT(B514,"yyyy-mm")</x:f>
        <x:v>2025-04</x:v>
      </x:c>
    </x:row>
    <x:row r="515">
      <x:c r="A515" s="1" t="str">
        <x:v>ORD-0511</x:v>
      </x:c>
      <x:c r="B515" s="4" t="d">
        <x:v>2025-10-13T00:00:00.000Z</x:v>
      </x:c>
      <x:c r="C515" s="1" t="str">
        <x:v>C-064</x:v>
      </x:c>
      <x:c r="D515" s="1" t="str">
        <x:v>East</x:v>
      </x:c>
      <x:c r="E515" s="1" t="str">
        <x:v>Home</x:v>
      </x:c>
      <x:c r="F515" s="1" t="str">
        <x:v>Office chair</x:v>
      </x:c>
      <x:c r="G515" s="1" t="n">
        <x:v>4</x:v>
      </x:c>
      <x:c r="H515" s="2" t="n">
        <x:v>5500</x:v>
      </x:c>
      <x:c r="I515" s="3" t="n">
        <x:v>0.15</x:v>
      </x:c>
      <x:c r="J515" s="2" t="n">
        <x:v>4400</x:v>
      </x:c>
      <x:c r="K515" s="2" t="n">
        <x:v>120</x:v>
      </x:c>
      <x:c r="L515" s="2" t="n">
        <x:f>G515*H515</x:f>
        <x:v>22000</x:v>
      </x:c>
      <x:c r="M515" s="2" t="n">
        <x:f>ROUND(L515*(1-I515),2)</x:f>
        <x:v>18700</x:v>
      </x:c>
      <x:c r="N515" s="2" t="n">
        <x:f>G515*J515</x:f>
        <x:v>17600</x:v>
      </x:c>
      <x:c r="O515" s="2" t="n">
        <x:f>M515-N515-K515</x:f>
        <x:v>980</x:v>
      </x:c>
      <x:c r="P515" s="1" t="str">
        <x:f>TEXT(B515,"yyyy-mm")</x:f>
        <x:v>2025-10</x:v>
      </x:c>
    </x:row>
    <x:row r="516">
      <x:c r="A516" s="1" t="str">
        <x:v>ORD-0512</x:v>
      </x:c>
      <x:c r="B516" s="4" t="d">
        <x:v>2025-03-14T00:00:00.000Z</x:v>
      </x:c>
      <x:c r="C516" s="1" t="str">
        <x:v>C-052</x:v>
      </x:c>
      <x:c r="D516" s="1" t="str">
        <x:v>East</x:v>
      </x:c>
      <x:c r="E516" s="1" t="str">
        <x:v>Electronics</x:v>
      </x:c>
      <x:c r="F516" s="1" t="str">
        <x:v>Headphones</x:v>
      </x:c>
      <x:c r="G516" s="1" t="n">
        <x:v>2</x:v>
      </x:c>
      <x:c r="H516" s="2" t="n">
        <x:v>2200</x:v>
      </x:c>
      <x:c r="I516" s="3" t="n">
        <x:v>0.1</x:v>
      </x:c>
      <x:c r="J516" s="2" t="n">
        <x:v>1450</x:v>
      </x:c>
      <x:c r="K516" s="2" t="n">
        <x:v>80</x:v>
      </x:c>
      <x:c r="L516" s="2" t="n">
        <x:f>G516*H516</x:f>
        <x:v>4400</x:v>
      </x:c>
      <x:c r="M516" s="2" t="n">
        <x:f>ROUND(L516*(1-I516),2)</x:f>
        <x:v>3960</x:v>
      </x:c>
      <x:c r="N516" s="2" t="n">
        <x:f>G516*J516</x:f>
        <x:v>2900</x:v>
      </x:c>
      <x:c r="O516" s="2" t="n">
        <x:f>M516-N516-K516</x:f>
        <x:v>980</x:v>
      </x:c>
      <x:c r="P516" s="1" t="str">
        <x:f>TEXT(B516,"yyyy-mm")</x:f>
        <x:v>2025-03</x:v>
      </x:c>
    </x:row>
    <x:row r="517">
      <x:c r="A517" s="1" t="str">
        <x:v>ORD-0513</x:v>
      </x:c>
      <x:c r="B517" s="4" t="d">
        <x:v>2025-11-24T00:00:00.000Z</x:v>
      </x:c>
      <x:c r="C517" s="1" t="str">
        <x:v>C-061</x:v>
      </x:c>
      <x:c r="D517" s="1" t="str">
        <x:v>East</x:v>
      </x:c>
      <x:c r="E517" s="1" t="str">
        <x:v>Electronics</x:v>
      </x:c>
      <x:c r="F517" s="1" t="str">
        <x:v>Keyboard</x:v>
      </x:c>
      <x:c r="G517" s="1" t="n">
        <x:v>1</x:v>
      </x:c>
      <x:c r="H517" s="2" t="n">
        <x:v>1500</x:v>
      </x:c>
      <x:c r="I517" s="3" t="n">
        <x:v>0.25</x:v>
      </x:c>
      <x:c r="J517" s="2" t="n">
        <x:v>900</x:v>
      </x:c>
      <x:c r="K517" s="2" t="n">
        <x:v>50</x:v>
      </x:c>
      <x:c r="L517" s="2" t="n">
        <x:f>G517*H517</x:f>
        <x:v>1500</x:v>
      </x:c>
      <x:c r="M517" s="2" t="n">
        <x:f>ROUND(L517*(1-I517),2)</x:f>
        <x:v>1125</x:v>
      </x:c>
      <x:c r="N517" s="2" t="n">
        <x:f>G517*J517</x:f>
        <x:v>900</x:v>
      </x:c>
      <x:c r="O517" s="2" t="n">
        <x:f>M517-N517-K517</x:f>
        <x:v>175</x:v>
      </x:c>
      <x:c r="P517" s="1" t="str">
        <x:f>TEXT(B517,"yyyy-mm")</x:f>
        <x:v>2025-11</x:v>
      </x:c>
    </x:row>
    <x:row r="518">
      <x:c r="A518" s="1" t="str">
        <x:v>ORD-0514</x:v>
      </x:c>
      <x:c r="B518" s="4" t="d">
        <x:v>2025-08-27T00:00:00.000Z</x:v>
      </x:c>
      <x:c r="C518" s="1" t="str">
        <x:v>C-268</x:v>
      </x:c>
      <x:c r="D518" s="1" t="str">
        <x:v>South</x:v>
      </x:c>
      <x:c r="E518" s="1" t="str">
        <x:v>Fashion</x:v>
      </x:c>
      <x:c r="F518" s="1" t="str">
        <x:v>T-shirt</x:v>
      </x:c>
      <x:c r="G518" s="1" t="n">
        <x:v>3</x:v>
      </x:c>
      <x:c r="H518" s="2" t="n">
        <x:v>700</x:v>
      </x:c>
      <x:c r="I518" s="3" t="n">
        <x:v>0.1</x:v>
      </x:c>
      <x:c r="J518" s="2" t="n">
        <x:v>300</x:v>
      </x:c>
      <x:c r="K518" s="2" t="n">
        <x:v>120</x:v>
      </x:c>
      <x:c r="L518" s="2" t="n">
        <x:f>G518*H518</x:f>
        <x:v>2100</x:v>
      </x:c>
      <x:c r="M518" s="2" t="n">
        <x:f>ROUND(L518*(1-I518),2)</x:f>
        <x:v>1890</x:v>
      </x:c>
      <x:c r="N518" s="2" t="n">
        <x:f>G518*J518</x:f>
        <x:v>900</x:v>
      </x:c>
      <x:c r="O518" s="2" t="n">
        <x:f>M518-N518-K518</x:f>
        <x:v>870</x:v>
      </x:c>
      <x:c r="P518" s="1" t="str">
        <x:f>TEXT(B518,"yyyy-mm")</x:f>
        <x:v>2025-08</x:v>
      </x:c>
    </x:row>
    <x:row r="519">
      <x:c r="A519" s="1" t="str">
        <x:v>ORD-0515</x:v>
      </x:c>
      <x:c r="B519" s="4" t="d">
        <x:v>2025-06-18T00:00:00.000Z</x:v>
      </x:c>
      <x:c r="C519" s="1" t="str">
        <x:v>C-255</x:v>
      </x:c>
      <x:c r="D519" s="1" t="str">
        <x:v>South</x:v>
      </x:c>
      <x:c r="E519" s="1" t="str">
        <x:v>Electronics</x:v>
      </x:c>
      <x:c r="F519" s="1" t="str">
        <x:v>Smartwatch</x:v>
      </x:c>
      <x:c r="G519" s="1" t="n">
        <x:v>4</x:v>
      </x:c>
      <x:c r="H519" s="2" t="n">
        <x:v>4200</x:v>
      </x:c>
      <x:c r="I519" s="3" t="n">
        <x:v>0</x:v>
      </x:c>
      <x:c r="J519" s="2" t="n">
        <x:v>3000</x:v>
      </x:c>
      <x:c r="K519" s="2" t="n">
        <x:v>80</x:v>
      </x:c>
      <x:c r="L519" s="2" t="n">
        <x:f>G519*H519</x:f>
        <x:v>16800</x:v>
      </x:c>
      <x:c r="M519" s="2" t="n">
        <x:f>ROUND(L519*(1-I519),2)</x:f>
        <x:v>16800</x:v>
      </x:c>
      <x:c r="N519" s="2" t="n">
        <x:f>G519*J519</x:f>
        <x:v>12000</x:v>
      </x:c>
      <x:c r="O519" s="2" t="n">
        <x:f>M519-N519-K519</x:f>
        <x:v>4720</x:v>
      </x:c>
      <x:c r="P519" s="1" t="str">
        <x:f>TEXT(B519,"yyyy-mm")</x:f>
        <x:v>2025-06</x:v>
      </x:c>
    </x:row>
    <x:row r="520">
      <x:c r="A520" s="1" t="str">
        <x:v>ORD-0516</x:v>
      </x:c>
      <x:c r="B520" s="4" t="d">
        <x:v>2025-04-03T00:00:00.000Z</x:v>
      </x:c>
      <x:c r="C520" s="1" t="str">
        <x:v>C-057</x:v>
      </x:c>
      <x:c r="D520" s="1" t="str">
        <x:v>West</x:v>
      </x:c>
      <x:c r="E520" s="1" t="str">
        <x:v>Electronics</x:v>
      </x:c>
      <x:c r="F520" s="1" t="str">
        <x:v>Headphones</x:v>
      </x:c>
      <x:c r="G520" s="1" t="n">
        <x:v>2</x:v>
      </x:c>
      <x:c r="H520" s="2" t="n">
        <x:v>2200</x:v>
      </x:c>
      <x:c r="I520" s="3" t="n">
        <x:v>0.35</x:v>
      </x:c>
      <x:c r="J520" s="2" t="n">
        <x:v>1450</x:v>
      </x:c>
      <x:c r="K520" s="2" t="n">
        <x:v>50</x:v>
      </x:c>
      <x:c r="L520" s="2" t="n">
        <x:f>G520*H520</x:f>
        <x:v>4400</x:v>
      </x:c>
      <x:c r="M520" s="2" t="n">
        <x:f>ROUND(L520*(1-I520),2)</x:f>
        <x:v>2860</x:v>
      </x:c>
      <x:c r="N520" s="2" t="n">
        <x:f>G520*J520</x:f>
        <x:v>2900</x:v>
      </x:c>
      <x:c r="O520" s="2" t="n">
        <x:f>M520-N520-K520</x:f>
        <x:v>-90</x:v>
      </x:c>
      <x:c r="P520" s="1" t="str">
        <x:f>TEXT(B520,"yyyy-mm")</x:f>
        <x:v>2025-04</x:v>
      </x:c>
    </x:row>
    <x:row r="521">
      <x:c r="A521" s="1" t="str">
        <x:v>ORD-0517</x:v>
      </x:c>
      <x:c r="B521" s="4" t="d">
        <x:v>2025-11-24T00:00:00.000Z</x:v>
      </x:c>
      <x:c r="C521" s="1" t="str">
        <x:v>C-052</x:v>
      </x:c>
      <x:c r="D521" s="1" t="str">
        <x:v>East</x:v>
      </x:c>
      <x:c r="E521" s="1" t="str">
        <x:v>Electronics</x:v>
      </x:c>
      <x:c r="F521" s="1" t="str">
        <x:v>Keyboard</x:v>
      </x:c>
      <x:c r="G521" s="1" t="n">
        <x:v>2</x:v>
      </x:c>
      <x:c r="H521" s="2" t="n">
        <x:v>1500</x:v>
      </x:c>
      <x:c r="I521" s="3" t="n">
        <x:v>0.35</x:v>
      </x:c>
      <x:c r="J521" s="2" t="n">
        <x:v>900</x:v>
      </x:c>
      <x:c r="K521" s="2" t="n">
        <x:v>80</x:v>
      </x:c>
      <x:c r="L521" s="2" t="n">
        <x:f>G521*H521</x:f>
        <x:v>3000</x:v>
      </x:c>
      <x:c r="M521" s="2" t="n">
        <x:f>ROUND(L521*(1-I521),2)</x:f>
        <x:v>1950</x:v>
      </x:c>
      <x:c r="N521" s="2" t="n">
        <x:f>G521*J521</x:f>
        <x:v>1800</x:v>
      </x:c>
      <x:c r="O521" s="2" t="n">
        <x:f>M521-N521-K521</x:f>
        <x:v>70</x:v>
      </x:c>
      <x:c r="P521" s="1" t="str">
        <x:f>TEXT(B521,"yyyy-mm")</x:f>
        <x:v>2025-11</x:v>
      </x:c>
    </x:row>
    <x:row r="522">
      <x:c r="A522" s="1" t="str">
        <x:v>ORD-0518</x:v>
      </x:c>
      <x:c r="B522" s="4" t="d">
        <x:v>2025-12-15T00:00:00.000Z</x:v>
      </x:c>
      <x:c r="C522" s="1" t="str">
        <x:v>C-026</x:v>
      </x:c>
      <x:c r="D522" s="1" t="str">
        <x:v>North</x:v>
      </x:c>
      <x:c r="E522" s="1" t="str">
        <x:v>Fashion</x:v>
      </x:c>
      <x:c r="F522" s="1" t="str">
        <x:v>Sneakers</x:v>
      </x:c>
      <x:c r="G522" s="1" t="n">
        <x:v>2</x:v>
      </x:c>
      <x:c r="H522" s="2" t="n">
        <x:v>2400</x:v>
      </x:c>
      <x:c r="I522" s="3" t="n">
        <x:v>0.1</x:v>
      </x:c>
      <x:c r="J522" s="2" t="n">
        <x:v>1200</x:v>
      </x:c>
      <x:c r="K522" s="2" t="n">
        <x:v>50</x:v>
      </x:c>
      <x:c r="L522" s="2" t="n">
        <x:f>G522*H522</x:f>
        <x:v>4800</x:v>
      </x:c>
      <x:c r="M522" s="2" t="n">
        <x:f>ROUND(L522*(1-I522),2)</x:f>
        <x:v>4320</x:v>
      </x:c>
      <x:c r="N522" s="2" t="n">
        <x:f>G522*J522</x:f>
        <x:v>2400</x:v>
      </x:c>
      <x:c r="O522" s="2" t="n">
        <x:f>M522-N522-K522</x:f>
        <x:v>1870</x:v>
      </x:c>
      <x:c r="P522" s="1" t="str">
        <x:f>TEXT(B522,"yyyy-mm")</x:f>
        <x:v>2025-12</x:v>
      </x:c>
    </x:row>
    <x:row r="523">
      <x:c r="A523" s="1" t="str">
        <x:v>ORD-0519</x:v>
      </x:c>
      <x:c r="B523" s="4" t="d">
        <x:v>2025-11-11T00:00:00.000Z</x:v>
      </x:c>
      <x:c r="C523" s="1" t="str">
        <x:v>C-219</x:v>
      </x:c>
      <x:c r="D523" s="1" t="str">
        <x:v>North</x:v>
      </x:c>
      <x:c r="E523" s="1" t="str">
        <x:v>Fashion</x:v>
      </x:c>
      <x:c r="F523" s="1" t="str">
        <x:v>Backpack</x:v>
      </x:c>
      <x:c r="G523" s="1" t="n">
        <x:v>1</x:v>
      </x:c>
      <x:c r="H523" s="2" t="n">
        <x:v>1300</x:v>
      </x:c>
      <x:c r="I523" s="3" t="n">
        <x:v>0.35</x:v>
      </x:c>
      <x:c r="J523" s="2" t="n">
        <x:v>650</x:v>
      </x:c>
      <x:c r="K523" s="2" t="n">
        <x:v>50</x:v>
      </x:c>
      <x:c r="L523" s="2" t="n">
        <x:f>G523*H523</x:f>
        <x:v>1300</x:v>
      </x:c>
      <x:c r="M523" s="2" t="n">
        <x:f>ROUND(L523*(1-I523),2)</x:f>
        <x:v>845</x:v>
      </x:c>
      <x:c r="N523" s="2" t="n">
        <x:f>G523*J523</x:f>
        <x:v>650</x:v>
      </x:c>
      <x:c r="O523" s="2" t="n">
        <x:f>M523-N523-K523</x:f>
        <x:v>145</x:v>
      </x:c>
      <x:c r="P523" s="1" t="str">
        <x:f>TEXT(B523,"yyyy-mm")</x:f>
        <x:v>2025-11</x:v>
      </x:c>
    </x:row>
    <x:row r="524">
      <x:c r="A524" s="1" t="str">
        <x:v>ORD-0520</x:v>
      </x:c>
      <x:c r="B524" s="4" t="d">
        <x:v>2025-01-21T00:00:00.000Z</x:v>
      </x:c>
      <x:c r="C524" s="1" t="str">
        <x:v>C-088</x:v>
      </x:c>
      <x:c r="D524" s="1" t="str">
        <x:v>East</x:v>
      </x:c>
      <x:c r="E524" s="1" t="str">
        <x:v>Electronics</x:v>
      </x:c>
      <x:c r="F524" s="1" t="str">
        <x:v>Smartwatch</x:v>
      </x:c>
      <x:c r="G524" s="1" t="n">
        <x:v>3</x:v>
      </x:c>
      <x:c r="H524" s="2" t="n">
        <x:v>4200</x:v>
      </x:c>
      <x:c r="I524" s="3" t="n">
        <x:v>0.35</x:v>
      </x:c>
      <x:c r="J524" s="2" t="n">
        <x:v>3000</x:v>
      </x:c>
      <x:c r="K524" s="2" t="n">
        <x:v>80</x:v>
      </x:c>
      <x:c r="L524" s="2" t="n">
        <x:f>G524*H524</x:f>
        <x:v>12600</x:v>
      </x:c>
      <x:c r="M524" s="2" t="n">
        <x:f>ROUND(L524*(1-I524),2)</x:f>
        <x:v>8190</x:v>
      </x:c>
      <x:c r="N524" s="2" t="n">
        <x:f>G524*J524</x:f>
        <x:v>9000</x:v>
      </x:c>
      <x:c r="O524" s="2" t="n">
        <x:f>M524-N524-K524</x:f>
        <x:v>-890</x:v>
      </x:c>
      <x:c r="P524" s="1" t="str">
        <x:f>TEXT(B524,"yyyy-mm")</x:f>
        <x:v>2025-01</x:v>
      </x:c>
    </x:row>
    <x:row r="525">
      <x:c r="A525" s="1" t="str">
        <x:v>ORD-0521</x:v>
      </x:c>
      <x:c r="B525" s="4" t="d">
        <x:v>2025-12-03T00:00:00.000Z</x:v>
      </x:c>
      <x:c r="C525" s="1" t="str">
        <x:v>C-191</x:v>
      </x:c>
      <x:c r="D525" s="1" t="str">
        <x:v>East</x:v>
      </x:c>
      <x:c r="E525" s="1" t="str">
        <x:v>Fashion</x:v>
      </x:c>
      <x:c r="F525" s="1" t="str">
        <x:v>Sneakers</x:v>
      </x:c>
      <x:c r="G525" s="1" t="n">
        <x:v>2</x:v>
      </x:c>
      <x:c r="H525" s="2" t="n">
        <x:v>2400</x:v>
      </x:c>
      <x:c r="I525" s="3" t="n">
        <x:v>0.35</x:v>
      </x:c>
      <x:c r="J525" s="2" t="n">
        <x:v>1200</x:v>
      </x:c>
      <x:c r="K525" s="2" t="n">
        <x:v>50</x:v>
      </x:c>
      <x:c r="L525" s="2" t="n">
        <x:f>G525*H525</x:f>
        <x:v>4800</x:v>
      </x:c>
      <x:c r="M525" s="2" t="n">
        <x:f>ROUND(L525*(1-I525),2)</x:f>
        <x:v>3120</x:v>
      </x:c>
      <x:c r="N525" s="2" t="n">
        <x:f>G525*J525</x:f>
        <x:v>2400</x:v>
      </x:c>
      <x:c r="O525" s="2" t="n">
        <x:f>M525-N525-K525</x:f>
        <x:v>670</x:v>
      </x:c>
      <x:c r="P525" s="1" t="str">
        <x:f>TEXT(B525,"yyyy-mm")</x:f>
        <x:v>2025-12</x:v>
      </x:c>
    </x:row>
    <x:row r="526">
      <x:c r="A526" s="1" t="str">
        <x:v>ORD-0522</x:v>
      </x:c>
      <x:c r="B526" s="4" t="d">
        <x:v>2025-06-27T00:00:00.000Z</x:v>
      </x:c>
      <x:c r="C526" s="1" t="str">
        <x:v>C-198</x:v>
      </x:c>
      <x:c r="D526" s="1" t="str">
        <x:v>West</x:v>
      </x:c>
      <x:c r="E526" s="1" t="str">
        <x:v>Home</x:v>
      </x:c>
      <x:c r="F526" s="1" t="str">
        <x:v>Desk lamp</x:v>
      </x:c>
      <x:c r="G526" s="1" t="n">
        <x:v>4</x:v>
      </x:c>
      <x:c r="H526" s="2" t="n">
        <x:v>1100</x:v>
      </x:c>
      <x:c r="I526" s="3" t="n">
        <x:v>0.1</x:v>
      </x:c>
      <x:c r="J526" s="2" t="n">
        <x:v>650</x:v>
      </x:c>
      <x:c r="K526" s="2" t="n">
        <x:v>120</x:v>
      </x:c>
      <x:c r="L526" s="2" t="n">
        <x:f>G526*H526</x:f>
        <x:v>4400</x:v>
      </x:c>
      <x:c r="M526" s="2" t="n">
        <x:f>ROUND(L526*(1-I526),2)</x:f>
        <x:v>3960</x:v>
      </x:c>
      <x:c r="N526" s="2" t="n">
        <x:f>G526*J526</x:f>
        <x:v>2600</x:v>
      </x:c>
      <x:c r="O526" s="2" t="n">
        <x:f>M526-N526-K526</x:f>
        <x:v>1240</x:v>
      </x:c>
      <x:c r="P526" s="1" t="str">
        <x:f>TEXT(B526,"yyyy-mm")</x:f>
        <x:v>2025-06</x:v>
      </x:c>
    </x:row>
    <x:row r="527">
      <x:c r="A527" s="1" t="str">
        <x:v>ORD-0523</x:v>
      </x:c>
      <x:c r="B527" s="4" t="d">
        <x:v>2025-11-05T00:00:00.000Z</x:v>
      </x:c>
      <x:c r="C527" s="1" t="str">
        <x:v>C-031</x:v>
      </x:c>
      <x:c r="D527" s="1" t="str">
        <x:v>South</x:v>
      </x:c>
      <x:c r="E527" s="1" t="str">
        <x:v>Electronics</x:v>
      </x:c>
      <x:c r="F527" s="1" t="str">
        <x:v>Smartwatch</x:v>
      </x:c>
      <x:c r="G527" s="1" t="n">
        <x:v>1</x:v>
      </x:c>
      <x:c r="H527" s="2" t="n">
        <x:v>4200</x:v>
      </x:c>
      <x:c r="I527" s="3" t="n">
        <x:v>0</x:v>
      </x:c>
      <x:c r="J527" s="2" t="n">
        <x:v>3000</x:v>
      </x:c>
      <x:c r="K527" s="2" t="n">
        <x:v>80</x:v>
      </x:c>
      <x:c r="L527" s="2" t="n">
        <x:f>G527*H527</x:f>
        <x:v>4200</x:v>
      </x:c>
      <x:c r="M527" s="2" t="n">
        <x:f>ROUND(L527*(1-I527),2)</x:f>
        <x:v>4200</x:v>
      </x:c>
      <x:c r="N527" s="2" t="n">
        <x:f>G527*J527</x:f>
        <x:v>3000</x:v>
      </x:c>
      <x:c r="O527" s="2" t="n">
        <x:f>M527-N527-K527</x:f>
        <x:v>1120</x:v>
      </x:c>
      <x:c r="P527" s="1" t="str">
        <x:f>TEXT(B527,"yyyy-mm")</x:f>
        <x:v>2025-11</x:v>
      </x:c>
    </x:row>
    <x:row r="528">
      <x:c r="A528" s="1" t="str">
        <x:v>ORD-0524</x:v>
      </x:c>
      <x:c r="B528" s="4" t="d">
        <x:v>2025-12-22T00:00:00.000Z</x:v>
      </x:c>
      <x:c r="C528" s="1" t="str">
        <x:v>C-225</x:v>
      </x:c>
      <x:c r="D528" s="1" t="str">
        <x:v>South</x:v>
      </x:c>
      <x:c r="E528" s="1" t="str">
        <x:v>Home</x:v>
      </x:c>
      <x:c r="F528" s="1" t="str">
        <x:v>Desk lamp</x:v>
      </x:c>
      <x:c r="G528" s="1" t="n">
        <x:v>4</x:v>
      </x:c>
      <x:c r="H528" s="2" t="n">
        <x:v>1100</x:v>
      </x:c>
      <x:c r="I528" s="3" t="n">
        <x:v>0.25</x:v>
      </x:c>
      <x:c r="J528" s="2" t="n">
        <x:v>650</x:v>
      </x:c>
      <x:c r="K528" s="2" t="n">
        <x:v>80</x:v>
      </x:c>
      <x:c r="L528" s="2" t="n">
        <x:f>G528*H528</x:f>
        <x:v>4400</x:v>
      </x:c>
      <x:c r="M528" s="2" t="n">
        <x:f>ROUND(L528*(1-I528),2)</x:f>
        <x:v>3300</x:v>
      </x:c>
      <x:c r="N528" s="2" t="n">
        <x:f>G528*J528</x:f>
        <x:v>2600</x:v>
      </x:c>
      <x:c r="O528" s="2" t="n">
        <x:f>M528-N528-K528</x:f>
        <x:v>620</x:v>
      </x:c>
      <x:c r="P528" s="1" t="str">
        <x:f>TEXT(B528,"yyyy-mm")</x:f>
        <x:v>2025-12</x:v>
      </x:c>
    </x:row>
    <x:row r="529">
      <x:c r="A529" s="1" t="str">
        <x:v>ORD-0525</x:v>
      </x:c>
      <x:c r="B529" s="4" t="d">
        <x:v>2025-09-30T00:00:00.000Z</x:v>
      </x:c>
      <x:c r="C529" s="1" t="str">
        <x:v>C-250</x:v>
      </x:c>
      <x:c r="D529" s="1" t="str">
        <x:v>North</x:v>
      </x:c>
      <x:c r="E529" s="1" t="str">
        <x:v>Electronics</x:v>
      </x:c>
      <x:c r="F529" s="1" t="str">
        <x:v>Smartwatch</x:v>
      </x:c>
      <x:c r="G529" s="1" t="n">
        <x:v>4</x:v>
      </x:c>
      <x:c r="H529" s="2" t="n">
        <x:v>4200</x:v>
      </x:c>
      <x:c r="I529" s="3" t="n">
        <x:v>0.15</x:v>
      </x:c>
      <x:c r="J529" s="2" t="n">
        <x:v>3000</x:v>
      </x:c>
      <x:c r="K529" s="2" t="n">
        <x:v>80</x:v>
      </x:c>
      <x:c r="L529" s="2" t="n">
        <x:f>G529*H529</x:f>
        <x:v>16800</x:v>
      </x:c>
      <x:c r="M529" s="2" t="n">
        <x:f>ROUND(L529*(1-I529),2)</x:f>
        <x:v>14280</x:v>
      </x:c>
      <x:c r="N529" s="2" t="n">
        <x:f>G529*J529</x:f>
        <x:v>12000</x:v>
      </x:c>
      <x:c r="O529" s="2" t="n">
        <x:f>M529-N529-K529</x:f>
        <x:v>2200</x:v>
      </x:c>
      <x:c r="P529" s="1" t="str">
        <x:f>TEXT(B529,"yyyy-mm")</x:f>
        <x:v>2025-09</x:v>
      </x:c>
    </x:row>
    <x:row r="530">
      <x:c r="A530" s="1" t="str">
        <x:v>ORD-0526</x:v>
      </x:c>
      <x:c r="B530" s="4" t="d">
        <x:v>2025-01-11T00:00:00.000Z</x:v>
      </x:c>
      <x:c r="C530" s="1" t="str">
        <x:v>C-007</x:v>
      </x:c>
      <x:c r="D530" s="1" t="str">
        <x:v>South</x:v>
      </x:c>
      <x:c r="E530" s="1" t="str">
        <x:v>Fashion</x:v>
      </x:c>
      <x:c r="F530" s="1" t="str">
        <x:v>Sneakers</x:v>
      </x:c>
      <x:c r="G530" s="1" t="n">
        <x:v>3</x:v>
      </x:c>
      <x:c r="H530" s="2" t="n">
        <x:v>2400</x:v>
      </x:c>
      <x:c r="I530" s="3" t="n">
        <x:v>0.35</x:v>
      </x:c>
      <x:c r="J530" s="2" t="n">
        <x:v>1200</x:v>
      </x:c>
      <x:c r="K530" s="2" t="n">
        <x:v>120</x:v>
      </x:c>
      <x:c r="L530" s="2" t="n">
        <x:f>G530*H530</x:f>
        <x:v>7200</x:v>
      </x:c>
      <x:c r="M530" s="2" t="n">
        <x:f>ROUND(L530*(1-I530),2)</x:f>
        <x:v>4680</x:v>
      </x:c>
      <x:c r="N530" s="2" t="n">
        <x:f>G530*J530</x:f>
        <x:v>3600</x:v>
      </x:c>
      <x:c r="O530" s="2" t="n">
        <x:f>M530-N530-K530</x:f>
        <x:v>960</x:v>
      </x:c>
      <x:c r="P530" s="1" t="str">
        <x:f>TEXT(B530,"yyyy-mm")</x:f>
        <x:v>2025-01</x:v>
      </x:c>
    </x:row>
    <x:row r="531">
      <x:c r="A531" s="1" t="str">
        <x:v>ORD-0527</x:v>
      </x:c>
      <x:c r="B531" s="4" t="d">
        <x:v>2025-08-22T00:00:00.000Z</x:v>
      </x:c>
      <x:c r="C531" s="1" t="str">
        <x:v>C-128</x:v>
      </x:c>
      <x:c r="D531" s="1" t="str">
        <x:v>West</x:v>
      </x:c>
      <x:c r="E531" s="1" t="str">
        <x:v>Electronics</x:v>
      </x:c>
      <x:c r="F531" s="1" t="str">
        <x:v>Keyboard</x:v>
      </x:c>
      <x:c r="G531" s="1" t="n">
        <x:v>3</x:v>
      </x:c>
      <x:c r="H531" s="2" t="n">
        <x:v>1500</x:v>
      </x:c>
      <x:c r="I531" s="3" t="n">
        <x:v>0.15</x:v>
      </x:c>
      <x:c r="J531" s="2" t="n">
        <x:v>900</x:v>
      </x:c>
      <x:c r="K531" s="2" t="n">
        <x:v>120</x:v>
      </x:c>
      <x:c r="L531" s="2" t="n">
        <x:f>G531*H531</x:f>
        <x:v>4500</x:v>
      </x:c>
      <x:c r="M531" s="2" t="n">
        <x:f>ROUND(L531*(1-I531),2)</x:f>
        <x:v>3825</x:v>
      </x:c>
      <x:c r="N531" s="2" t="n">
        <x:f>G531*J531</x:f>
        <x:v>2700</x:v>
      </x:c>
      <x:c r="O531" s="2" t="n">
        <x:f>M531-N531-K531</x:f>
        <x:v>1005</x:v>
      </x:c>
      <x:c r="P531" s="1" t="str">
        <x:f>TEXT(B531,"yyyy-mm")</x:f>
        <x:v>2025-08</x:v>
      </x:c>
    </x:row>
    <x:row r="532">
      <x:c r="A532" s="1" t="str">
        <x:v>ORD-0528</x:v>
      </x:c>
      <x:c r="B532" s="4" t="d">
        <x:v>2025-10-27T00:00:00.000Z</x:v>
      </x:c>
      <x:c r="C532" s="1" t="str">
        <x:v>C-286</x:v>
      </x:c>
      <x:c r="D532" s="1" t="str">
        <x:v>North</x:v>
      </x:c>
      <x:c r="E532" s="1" t="str">
        <x:v>Home</x:v>
      </x:c>
      <x:c r="F532" s="1" t="str">
        <x:v>Office chair</x:v>
      </x:c>
      <x:c r="G532" s="1" t="n">
        <x:v>1</x:v>
      </x:c>
      <x:c r="H532" s="2" t="n">
        <x:v>5500</x:v>
      </x:c>
      <x:c r="I532" s="3" t="n">
        <x:v>0.05</x:v>
      </x:c>
      <x:c r="J532" s="2" t="n">
        <x:v>4400</x:v>
      </x:c>
      <x:c r="K532" s="2" t="n">
        <x:v>120</x:v>
      </x:c>
      <x:c r="L532" s="2" t="n">
        <x:f>G532*H532</x:f>
        <x:v>5500</x:v>
      </x:c>
      <x:c r="M532" s="2" t="n">
        <x:f>ROUND(L532*(1-I532),2)</x:f>
        <x:v>5225</x:v>
      </x:c>
      <x:c r="N532" s="2" t="n">
        <x:f>G532*J532</x:f>
        <x:v>4400</x:v>
      </x:c>
      <x:c r="O532" s="2" t="n">
        <x:f>M532-N532-K532</x:f>
        <x:v>705</x:v>
      </x:c>
      <x:c r="P532" s="1" t="str">
        <x:f>TEXT(B532,"yyyy-mm")</x:f>
        <x:v>2025-10</x:v>
      </x:c>
    </x:row>
    <x:row r="533">
      <x:c r="A533" s="1" t="str">
        <x:v>ORD-0529</x:v>
      </x:c>
      <x:c r="B533" s="4" t="d">
        <x:v>2025-12-28T00:00:00.000Z</x:v>
      </x:c>
      <x:c r="C533" s="1" t="str">
        <x:v>C-254</x:v>
      </x:c>
      <x:c r="D533" s="1" t="str">
        <x:v>South</x:v>
      </x:c>
      <x:c r="E533" s="1" t="str">
        <x:v>Home</x:v>
      </x:c>
      <x:c r="F533" s="1" t="str">
        <x:v>Storage box</x:v>
      </x:c>
      <x:c r="G533" s="1" t="n">
        <x:v>1</x:v>
      </x:c>
      <x:c r="H533" s="2" t="n">
        <x:v>800</x:v>
      </x:c>
      <x:c r="I533" s="3" t="n">
        <x:v>0.15</x:v>
      </x:c>
      <x:c r="J533" s="2" t="n">
        <x:v>420</x:v>
      </x:c>
      <x:c r="K533" s="2" t="n">
        <x:v>80</x:v>
      </x:c>
      <x:c r="L533" s="2" t="n">
        <x:f>G533*H533</x:f>
        <x:v>800</x:v>
      </x:c>
      <x:c r="M533" s="2" t="n">
        <x:f>ROUND(L533*(1-I533),2)</x:f>
        <x:v>680</x:v>
      </x:c>
      <x:c r="N533" s="2" t="n">
        <x:f>G533*J533</x:f>
        <x:v>420</x:v>
      </x:c>
      <x:c r="O533" s="2" t="n">
        <x:f>M533-N533-K533</x:f>
        <x:v>180</x:v>
      </x:c>
      <x:c r="P533" s="1" t="str">
        <x:f>TEXT(B533,"yyyy-mm")</x:f>
        <x:v>2025-12</x:v>
      </x:c>
    </x:row>
    <x:row r="534">
      <x:c r="A534" s="1" t="str">
        <x:v>ORD-0530</x:v>
      </x:c>
      <x:c r="B534" s="4" t="d">
        <x:v>2025-05-02T00:00:00.000Z</x:v>
      </x:c>
      <x:c r="C534" s="1" t="str">
        <x:v>C-260</x:v>
      </x:c>
      <x:c r="D534" s="1" t="str">
        <x:v>South</x:v>
      </x:c>
      <x:c r="E534" s="1" t="str">
        <x:v>Fashion</x:v>
      </x:c>
      <x:c r="F534" s="1" t="str">
        <x:v>Backpack</x:v>
      </x:c>
      <x:c r="G534" s="1" t="n">
        <x:v>4</x:v>
      </x:c>
      <x:c r="H534" s="2" t="n">
        <x:v>1300</x:v>
      </x:c>
      <x:c r="I534" s="3" t="n">
        <x:v>0.1</x:v>
      </x:c>
      <x:c r="J534" s="2" t="n">
        <x:v>650</x:v>
      </x:c>
      <x:c r="K534" s="2" t="n">
        <x:v>80</x:v>
      </x:c>
      <x:c r="L534" s="2" t="n">
        <x:f>G534*H534</x:f>
        <x:v>5200</x:v>
      </x:c>
      <x:c r="M534" s="2" t="n">
        <x:f>ROUND(L534*(1-I534),2)</x:f>
        <x:v>4680</x:v>
      </x:c>
      <x:c r="N534" s="2" t="n">
        <x:f>G534*J534</x:f>
        <x:v>2600</x:v>
      </x:c>
      <x:c r="O534" s="2" t="n">
        <x:f>M534-N534-K534</x:f>
        <x:v>2000</x:v>
      </x:c>
      <x:c r="P534" s="1" t="str">
        <x:f>TEXT(B534,"yyyy-mm")</x:f>
        <x:v>2025-05</x:v>
      </x:c>
    </x:row>
    <x:row r="535">
      <x:c r="A535" s="1" t="str">
        <x:v>ORD-0531</x:v>
      </x:c>
      <x:c r="B535" s="4" t="d">
        <x:v>2025-11-15T00:00:00.000Z</x:v>
      </x:c>
      <x:c r="C535" s="1" t="str">
        <x:v>C-294</x:v>
      </x:c>
      <x:c r="D535" s="1" t="str">
        <x:v>West</x:v>
      </x:c>
      <x:c r="E535" s="1" t="str">
        <x:v>Electronics</x:v>
      </x:c>
      <x:c r="F535" s="1" t="str">
        <x:v>Keyboard</x:v>
      </x:c>
      <x:c r="G535" s="1" t="n">
        <x:v>1</x:v>
      </x:c>
      <x:c r="H535" s="2" t="n">
        <x:v>1500</x:v>
      </x:c>
      <x:c r="I535" s="3" t="n">
        <x:v>0.15</x:v>
      </x:c>
      <x:c r="J535" s="2" t="n">
        <x:v>900</x:v>
      </x:c>
      <x:c r="K535" s="2" t="n">
        <x:v>80</x:v>
      </x:c>
      <x:c r="L535" s="2" t="n">
        <x:f>G535*H535</x:f>
        <x:v>1500</x:v>
      </x:c>
      <x:c r="M535" s="2" t="n">
        <x:f>ROUND(L535*(1-I535),2)</x:f>
        <x:v>1275</x:v>
      </x:c>
      <x:c r="N535" s="2" t="n">
        <x:f>G535*J535</x:f>
        <x:v>900</x:v>
      </x:c>
      <x:c r="O535" s="2" t="n">
        <x:f>M535-N535-K535</x:f>
        <x:v>295</x:v>
      </x:c>
      <x:c r="P535" s="1" t="str">
        <x:f>TEXT(B535,"yyyy-mm")</x:f>
        <x:v>2025-11</x:v>
      </x:c>
    </x:row>
    <x:row r="536">
      <x:c r="A536" s="1" t="str">
        <x:v>ORD-0532</x:v>
      </x:c>
      <x:c r="B536" s="4" t="d">
        <x:v>2025-07-24T00:00:00.000Z</x:v>
      </x:c>
      <x:c r="C536" s="1" t="str">
        <x:v>C-010</x:v>
      </x:c>
      <x:c r="D536" s="1" t="str">
        <x:v>North</x:v>
      </x:c>
      <x:c r="E536" s="1" t="str">
        <x:v>Electronics</x:v>
      </x:c>
      <x:c r="F536" s="1" t="str">
        <x:v>Keyboard</x:v>
      </x:c>
      <x:c r="G536" s="1" t="n">
        <x:v>4</x:v>
      </x:c>
      <x:c r="H536" s="2" t="n">
        <x:v>1500</x:v>
      </x:c>
      <x:c r="I536" s="3" t="n">
        <x:v>0.15</x:v>
      </x:c>
      <x:c r="J536" s="2" t="n">
        <x:v>900</x:v>
      </x:c>
      <x:c r="K536" s="2" t="n">
        <x:v>80</x:v>
      </x:c>
      <x:c r="L536" s="2" t="n">
        <x:f>G536*H536</x:f>
        <x:v>6000</x:v>
      </x:c>
      <x:c r="M536" s="2" t="n">
        <x:f>ROUND(L536*(1-I536),2)</x:f>
        <x:v>5100</x:v>
      </x:c>
      <x:c r="N536" s="2" t="n">
        <x:f>G536*J536</x:f>
        <x:v>3600</x:v>
      </x:c>
      <x:c r="O536" s="2" t="n">
        <x:f>M536-N536-K536</x:f>
        <x:v>1420</x:v>
      </x:c>
      <x:c r="P536" s="1" t="str">
        <x:f>TEXT(B536,"yyyy-mm")</x:f>
        <x:v>2025-07</x:v>
      </x:c>
    </x:row>
    <x:row r="537">
      <x:c r="A537" s="1" t="str">
        <x:v>ORD-0533</x:v>
      </x:c>
      <x:c r="B537" s="4" t="d">
        <x:v>2025-01-27T00:00:00.000Z</x:v>
      </x:c>
      <x:c r="C537" s="1" t="str">
        <x:v>C-047</x:v>
      </x:c>
      <x:c r="D537" s="1" t="str">
        <x:v>East</x:v>
      </x:c>
      <x:c r="E537" s="1" t="str">
        <x:v>Home</x:v>
      </x:c>
      <x:c r="F537" s="1" t="str">
        <x:v>Storage box</x:v>
      </x:c>
      <x:c r="G537" s="1" t="n">
        <x:v>2</x:v>
      </x:c>
      <x:c r="H537" s="2" t="n">
        <x:v>800</x:v>
      </x:c>
      <x:c r="I537" s="3" t="n">
        <x:v>0</x:v>
      </x:c>
      <x:c r="J537" s="2" t="n">
        <x:v>420</x:v>
      </x:c>
      <x:c r="K537" s="2" t="n">
        <x:v>120</x:v>
      </x:c>
      <x:c r="L537" s="2" t="n">
        <x:f>G537*H537</x:f>
        <x:v>1600</x:v>
      </x:c>
      <x:c r="M537" s="2" t="n">
        <x:f>ROUND(L537*(1-I537),2)</x:f>
        <x:v>1600</x:v>
      </x:c>
      <x:c r="N537" s="2" t="n">
        <x:f>G537*J537</x:f>
        <x:v>840</x:v>
      </x:c>
      <x:c r="O537" s="2" t="n">
        <x:f>M537-N537-K537</x:f>
        <x:v>640</x:v>
      </x:c>
      <x:c r="P537" s="1" t="str">
        <x:f>TEXT(B537,"yyyy-mm")</x:f>
        <x:v>2025-01</x:v>
      </x:c>
    </x:row>
    <x:row r="538">
      <x:c r="A538" s="1" t="str">
        <x:v>ORD-0534</x:v>
      </x:c>
      <x:c r="B538" s="4" t="d">
        <x:v>2025-10-27T00:00:00.000Z</x:v>
      </x:c>
      <x:c r="C538" s="1" t="str">
        <x:v>C-028</x:v>
      </x:c>
      <x:c r="D538" s="1" t="str">
        <x:v>South</x:v>
      </x:c>
      <x:c r="E538" s="1" t="str">
        <x:v>Fashion</x:v>
      </x:c>
      <x:c r="F538" s="1" t="str">
        <x:v>Backpack</x:v>
      </x:c>
      <x:c r="G538" s="1" t="n">
        <x:v>4</x:v>
      </x:c>
      <x:c r="H538" s="2" t="n">
        <x:v>1300</x:v>
      </x:c>
      <x:c r="I538" s="3" t="n">
        <x:v>0.1</x:v>
      </x:c>
      <x:c r="J538" s="2" t="n">
        <x:v>650</x:v>
      </x:c>
      <x:c r="K538" s="2" t="n">
        <x:v>80</x:v>
      </x:c>
      <x:c r="L538" s="2" t="n">
        <x:f>G538*H538</x:f>
        <x:v>5200</x:v>
      </x:c>
      <x:c r="M538" s="2" t="n">
        <x:f>ROUND(L538*(1-I538),2)</x:f>
        <x:v>4680</x:v>
      </x:c>
      <x:c r="N538" s="2" t="n">
        <x:f>G538*J538</x:f>
        <x:v>2600</x:v>
      </x:c>
      <x:c r="O538" s="2" t="n">
        <x:f>M538-N538-K538</x:f>
        <x:v>2000</x:v>
      </x:c>
      <x:c r="P538" s="1" t="str">
        <x:f>TEXT(B538,"yyyy-mm")</x:f>
        <x:v>2025-10</x:v>
      </x:c>
    </x:row>
    <x:row r="539">
      <x:c r="A539" s="1" t="str">
        <x:v>ORD-0535</x:v>
      </x:c>
      <x:c r="B539" s="4" t="d">
        <x:v>2025-08-22T00:00:00.000Z</x:v>
      </x:c>
      <x:c r="C539" s="1" t="str">
        <x:v>C-187</x:v>
      </x:c>
      <x:c r="D539" s="1" t="str">
        <x:v>West</x:v>
      </x:c>
      <x:c r="E539" s="1" t="str">
        <x:v>Home</x:v>
      </x:c>
      <x:c r="F539" s="1" t="str">
        <x:v>Desk lamp</x:v>
      </x:c>
      <x:c r="G539" s="1" t="n">
        <x:v>1</x:v>
      </x:c>
      <x:c r="H539" s="2" t="n">
        <x:v>1100</x:v>
      </x:c>
      <x:c r="I539" s="3" t="n">
        <x:v>0.35</x:v>
      </x:c>
      <x:c r="J539" s="2" t="n">
        <x:v>650</x:v>
      </x:c>
      <x:c r="K539" s="2" t="n">
        <x:v>50</x:v>
      </x:c>
      <x:c r="L539" s="2" t="n">
        <x:f>G539*H539</x:f>
        <x:v>1100</x:v>
      </x:c>
      <x:c r="M539" s="2" t="n">
        <x:f>ROUND(L539*(1-I539),2)</x:f>
        <x:v>715</x:v>
      </x:c>
      <x:c r="N539" s="2" t="n">
        <x:f>G539*J539</x:f>
        <x:v>650</x:v>
      </x:c>
      <x:c r="O539" s="2" t="n">
        <x:f>M539-N539-K539</x:f>
        <x:v>15</x:v>
      </x:c>
      <x:c r="P539" s="1" t="str">
        <x:f>TEXT(B539,"yyyy-mm")</x:f>
        <x:v>2025-08</x:v>
      </x:c>
    </x:row>
    <x:row r="540">
      <x:c r="A540" s="1" t="str">
        <x:v>ORD-0536</x:v>
      </x:c>
      <x:c r="B540" s="4" t="d">
        <x:v>2025-10-11T00:00:00.000Z</x:v>
      </x:c>
      <x:c r="C540" s="1" t="str">
        <x:v>C-182</x:v>
      </x:c>
      <x:c r="D540" s="1" t="str">
        <x:v>East</x:v>
      </x:c>
      <x:c r="E540" s="1" t="str">
        <x:v>Fashion</x:v>
      </x:c>
      <x:c r="F540" s="1" t="str">
        <x:v>T-shirt</x:v>
      </x:c>
      <x:c r="G540" s="1" t="n">
        <x:v>3</x:v>
      </x:c>
      <x:c r="H540" s="2" t="n">
        <x:v>700</x:v>
      </x:c>
      <x:c r="I540" s="3" t="n">
        <x:v>0</x:v>
      </x:c>
      <x:c r="J540" s="2" t="n">
        <x:v>300</x:v>
      </x:c>
      <x:c r="K540" s="2" t="n">
        <x:v>120</x:v>
      </x:c>
      <x:c r="L540" s="2" t="n">
        <x:f>G540*H540</x:f>
        <x:v>2100</x:v>
      </x:c>
      <x:c r="M540" s="2" t="n">
        <x:f>ROUND(L540*(1-I540),2)</x:f>
        <x:v>2100</x:v>
      </x:c>
      <x:c r="N540" s="2" t="n">
        <x:f>G540*J540</x:f>
        <x:v>900</x:v>
      </x:c>
      <x:c r="O540" s="2" t="n">
        <x:f>M540-N540-K540</x:f>
        <x:v>1080</x:v>
      </x:c>
      <x:c r="P540" s="1" t="str">
        <x:f>TEXT(B540,"yyyy-mm")</x:f>
        <x:v>2025-10</x:v>
      </x:c>
    </x:row>
    <x:row r="541">
      <x:c r="A541" s="1" t="str">
        <x:v>ORD-0537</x:v>
      </x:c>
      <x:c r="B541" s="4" t="d">
        <x:v>2025-02-05T00:00:00.000Z</x:v>
      </x:c>
      <x:c r="C541" s="1" t="str">
        <x:v>C-210</x:v>
      </x:c>
      <x:c r="D541" s="1" t="str">
        <x:v>North</x:v>
      </x:c>
      <x:c r="E541" s="1" t="str">
        <x:v>Electronics</x:v>
      </x:c>
      <x:c r="F541" s="1" t="str">
        <x:v>Smartwatch</x:v>
      </x:c>
      <x:c r="G541" s="1" t="n">
        <x:v>3</x:v>
      </x:c>
      <x:c r="H541" s="2" t="n">
        <x:v>4200</x:v>
      </x:c>
      <x:c r="I541" s="3" t="n">
        <x:v>0.15</x:v>
      </x:c>
      <x:c r="J541" s="2" t="n">
        <x:v>3000</x:v>
      </x:c>
      <x:c r="K541" s="2" t="n">
        <x:v>120</x:v>
      </x:c>
      <x:c r="L541" s="2" t="n">
        <x:f>G541*H541</x:f>
        <x:v>12600</x:v>
      </x:c>
      <x:c r="M541" s="2" t="n">
        <x:f>ROUND(L541*(1-I541),2)</x:f>
        <x:v>10710</x:v>
      </x:c>
      <x:c r="N541" s="2" t="n">
        <x:f>G541*J541</x:f>
        <x:v>9000</x:v>
      </x:c>
      <x:c r="O541" s="2" t="n">
        <x:f>M541-N541-K541</x:f>
        <x:v>1590</x:v>
      </x:c>
      <x:c r="P541" s="1" t="str">
        <x:f>TEXT(B541,"yyyy-mm")</x:f>
        <x:v>2025-02</x:v>
      </x:c>
    </x:row>
    <x:row r="542">
      <x:c r="A542" s="1" t="str">
        <x:v>ORD-0538</x:v>
      </x:c>
      <x:c r="B542" s="4" t="d">
        <x:v>2025-03-07T00:00:00.000Z</x:v>
      </x:c>
      <x:c r="C542" s="1" t="str">
        <x:v>C-235</x:v>
      </x:c>
      <x:c r="D542" s="1" t="str">
        <x:v>South</x:v>
      </x:c>
      <x:c r="E542" s="1" t="str">
        <x:v>Electronics</x:v>
      </x:c>
      <x:c r="F542" s="1" t="str">
        <x:v>Keyboard</x:v>
      </x:c>
      <x:c r="G542" s="1" t="n">
        <x:v>3</x:v>
      </x:c>
      <x:c r="H542" s="2" t="n">
        <x:v>1500</x:v>
      </x:c>
      <x:c r="I542" s="3" t="n">
        <x:v>0.15</x:v>
      </x:c>
      <x:c r="J542" s="2" t="n">
        <x:v>900</x:v>
      </x:c>
      <x:c r="K542" s="2" t="n">
        <x:v>50</x:v>
      </x:c>
      <x:c r="L542" s="2" t="n">
        <x:f>G542*H542</x:f>
        <x:v>4500</x:v>
      </x:c>
      <x:c r="M542" s="2" t="n">
        <x:f>ROUND(L542*(1-I542),2)</x:f>
        <x:v>3825</x:v>
      </x:c>
      <x:c r="N542" s="2" t="n">
        <x:f>G542*J542</x:f>
        <x:v>2700</x:v>
      </x:c>
      <x:c r="O542" s="2" t="n">
        <x:f>M542-N542-K542</x:f>
        <x:v>1075</x:v>
      </x:c>
      <x:c r="P542" s="1" t="str">
        <x:f>TEXT(B542,"yyyy-mm")</x:f>
        <x:v>2025-03</x:v>
      </x:c>
    </x:row>
    <x:row r="543">
      <x:c r="A543" s="1" t="str">
        <x:v>ORD-0539</x:v>
      </x:c>
      <x:c r="B543" s="4" t="d">
        <x:v>2025-10-27T00:00:00.000Z</x:v>
      </x:c>
      <x:c r="C543" s="1" t="str">
        <x:v>C-064</x:v>
      </x:c>
      <x:c r="D543" s="1" t="str">
        <x:v>West</x:v>
      </x:c>
      <x:c r="E543" s="1" t="str">
        <x:v>Electronics</x:v>
      </x:c>
      <x:c r="F543" s="1" t="str">
        <x:v>Headphones</x:v>
      </x:c>
      <x:c r="G543" s="1" t="n">
        <x:v>4</x:v>
      </x:c>
      <x:c r="H543" s="2" t="n">
        <x:v>2200</x:v>
      </x:c>
      <x:c r="I543" s="3" t="n">
        <x:v>0.35</x:v>
      </x:c>
      <x:c r="J543" s="2" t="n">
        <x:v>1450</x:v>
      </x:c>
      <x:c r="K543" s="2" t="n">
        <x:v>120</x:v>
      </x:c>
      <x:c r="L543" s="2" t="n">
        <x:f>G543*H543</x:f>
        <x:v>8800</x:v>
      </x:c>
      <x:c r="M543" s="2" t="n">
        <x:f>ROUND(L543*(1-I543),2)</x:f>
        <x:v>5720</x:v>
      </x:c>
      <x:c r="N543" s="2" t="n">
        <x:f>G543*J543</x:f>
        <x:v>5800</x:v>
      </x:c>
      <x:c r="O543" s="2" t="n">
        <x:f>M543-N543-K543</x:f>
        <x:v>-200</x:v>
      </x:c>
      <x:c r="P543" s="1" t="str">
        <x:f>TEXT(B543,"yyyy-mm")</x:f>
        <x:v>2025-10</x:v>
      </x:c>
    </x:row>
    <x:row r="544">
      <x:c r="A544" s="1" t="str">
        <x:v>ORD-0540</x:v>
      </x:c>
      <x:c r="B544" s="4" t="d">
        <x:v>2025-09-16T00:00:00.000Z</x:v>
      </x:c>
      <x:c r="C544" s="1" t="str">
        <x:v>C-003</x:v>
      </x:c>
      <x:c r="D544" s="1" t="str">
        <x:v>North</x:v>
      </x:c>
      <x:c r="E544" s="1" t="str">
        <x:v>Home</x:v>
      </x:c>
      <x:c r="F544" s="1" t="str">
        <x:v>Storage box</x:v>
      </x:c>
      <x:c r="G544" s="1" t="n">
        <x:v>4</x:v>
      </x:c>
      <x:c r="H544" s="2" t="n">
        <x:v>800</x:v>
      </x:c>
      <x:c r="I544" s="3" t="n">
        <x:v>0.05</x:v>
      </x:c>
      <x:c r="J544" s="2" t="n">
        <x:v>420</x:v>
      </x:c>
      <x:c r="K544" s="2" t="n">
        <x:v>120</x:v>
      </x:c>
      <x:c r="L544" s="2" t="n">
        <x:f>G544*H544</x:f>
        <x:v>3200</x:v>
      </x:c>
      <x:c r="M544" s="2" t="n">
        <x:f>ROUND(L544*(1-I544),2)</x:f>
        <x:v>3040</x:v>
      </x:c>
      <x:c r="N544" s="2" t="n">
        <x:f>G544*J544</x:f>
        <x:v>1680</x:v>
      </x:c>
      <x:c r="O544" s="2" t="n">
        <x:f>M544-N544-K544</x:f>
        <x:v>1240</x:v>
      </x:c>
      <x:c r="P544" s="1" t="str">
        <x:f>TEXT(B544,"yyyy-mm")</x:f>
        <x:v>2025-09</x:v>
      </x:c>
    </x:row>
    <x:row r="545">
      <x:c r="A545" s="1" t="str">
        <x:v>ORD-0541</x:v>
      </x:c>
      <x:c r="B545" s="4" t="d">
        <x:v>2025-07-23T00:00:00.000Z</x:v>
      </x:c>
      <x:c r="C545" s="1" t="str">
        <x:v>C-297</x:v>
      </x:c>
      <x:c r="D545" s="1" t="str">
        <x:v>South</x:v>
      </x:c>
      <x:c r="E545" s="1" t="str">
        <x:v>Home</x:v>
      </x:c>
      <x:c r="F545" s="1" t="str">
        <x:v>Storage box</x:v>
      </x:c>
      <x:c r="G545" s="1" t="n">
        <x:v>2</x:v>
      </x:c>
      <x:c r="H545" s="2" t="n">
        <x:v>800</x:v>
      </x:c>
      <x:c r="I545" s="3" t="n">
        <x:v>0.05</x:v>
      </x:c>
      <x:c r="J545" s="2" t="n">
        <x:v>420</x:v>
      </x:c>
      <x:c r="K545" s="2" t="n">
        <x:v>50</x:v>
      </x:c>
      <x:c r="L545" s="2" t="n">
        <x:f>G545*H545</x:f>
        <x:v>1600</x:v>
      </x:c>
      <x:c r="M545" s="2" t="n">
        <x:f>ROUND(L545*(1-I545),2)</x:f>
        <x:v>1520</x:v>
      </x:c>
      <x:c r="N545" s="2" t="n">
        <x:f>G545*J545</x:f>
        <x:v>840</x:v>
      </x:c>
      <x:c r="O545" s="2" t="n">
        <x:f>M545-N545-K545</x:f>
        <x:v>630</x:v>
      </x:c>
      <x:c r="P545" s="1" t="str">
        <x:f>TEXT(B545,"yyyy-mm")</x:f>
        <x:v>2025-07</x:v>
      </x:c>
    </x:row>
    <x:row r="546">
      <x:c r="A546" s="1" t="str">
        <x:v>ORD-0542</x:v>
      </x:c>
      <x:c r="B546" s="4" t="d">
        <x:v>2025-06-29T00:00:00.000Z</x:v>
      </x:c>
      <x:c r="C546" s="1" t="str">
        <x:v>C-197</x:v>
      </x:c>
      <x:c r="D546" s="1" t="str">
        <x:v>West</x:v>
      </x:c>
      <x:c r="E546" s="1" t="str">
        <x:v>Fashion</x:v>
      </x:c>
      <x:c r="F546" s="1" t="str">
        <x:v>Backpack</x:v>
      </x:c>
      <x:c r="G546" s="1" t="n">
        <x:v>2</x:v>
      </x:c>
      <x:c r="H546" s="2" t="n">
        <x:v>1300</x:v>
      </x:c>
      <x:c r="I546" s="3" t="n">
        <x:v>0.25</x:v>
      </x:c>
      <x:c r="J546" s="2" t="n">
        <x:v>650</x:v>
      </x:c>
      <x:c r="K546" s="2" t="n">
        <x:v>80</x:v>
      </x:c>
      <x:c r="L546" s="2" t="n">
        <x:f>G546*H546</x:f>
        <x:v>2600</x:v>
      </x:c>
      <x:c r="M546" s="2" t="n">
        <x:f>ROUND(L546*(1-I546),2)</x:f>
        <x:v>1950</x:v>
      </x:c>
      <x:c r="N546" s="2" t="n">
        <x:f>G546*J546</x:f>
        <x:v>1300</x:v>
      </x:c>
      <x:c r="O546" s="2" t="n">
        <x:f>M546-N546-K546</x:f>
        <x:v>570</x:v>
      </x:c>
      <x:c r="P546" s="1" t="str">
        <x:f>TEXT(B546,"yyyy-mm")</x:f>
        <x:v>2025-06</x:v>
      </x:c>
    </x:row>
    <x:row r="547">
      <x:c r="A547" s="1" t="str">
        <x:v>ORD-0543</x:v>
      </x:c>
      <x:c r="B547" s="4" t="d">
        <x:v>2025-06-15T00:00:00.000Z</x:v>
      </x:c>
      <x:c r="C547" s="1" t="str">
        <x:v>C-069</x:v>
      </x:c>
      <x:c r="D547" s="1" t="str">
        <x:v>South</x:v>
      </x:c>
      <x:c r="E547" s="1" t="str">
        <x:v>Fashion</x:v>
      </x:c>
      <x:c r="F547" s="1" t="str">
        <x:v>Backpack</x:v>
      </x:c>
      <x:c r="G547" s="1" t="n">
        <x:v>4</x:v>
      </x:c>
      <x:c r="H547" s="2" t="n">
        <x:v>1300</x:v>
      </x:c>
      <x:c r="I547" s="3" t="n">
        <x:v>0.1</x:v>
      </x:c>
      <x:c r="J547" s="2" t="n">
        <x:v>650</x:v>
      </x:c>
      <x:c r="K547" s="2" t="n">
        <x:v>120</x:v>
      </x:c>
      <x:c r="L547" s="2" t="n">
        <x:f>G547*H547</x:f>
        <x:v>5200</x:v>
      </x:c>
      <x:c r="M547" s="2" t="n">
        <x:f>ROUND(L547*(1-I547),2)</x:f>
        <x:v>4680</x:v>
      </x:c>
      <x:c r="N547" s="2" t="n">
        <x:f>G547*J547</x:f>
        <x:v>2600</x:v>
      </x:c>
      <x:c r="O547" s="2" t="n">
        <x:f>M547-N547-K547</x:f>
        <x:v>1960</x:v>
      </x:c>
      <x:c r="P547" s="1" t="str">
        <x:f>TEXT(B547,"yyyy-mm")</x:f>
        <x:v>2025-06</x:v>
      </x:c>
    </x:row>
    <x:row r="548">
      <x:c r="A548" s="1" t="str">
        <x:v>ORD-0544</x:v>
      </x:c>
      <x:c r="B548" s="4" t="d">
        <x:v>2025-10-27T00:00:00.000Z</x:v>
      </x:c>
      <x:c r="C548" s="1" t="str">
        <x:v>C-281</x:v>
      </x:c>
      <x:c r="D548" s="1" t="str">
        <x:v>East</x:v>
      </x:c>
      <x:c r="E548" s="1" t="str">
        <x:v>Home</x:v>
      </x:c>
      <x:c r="F548" s="1" t="str">
        <x:v>Storage box</x:v>
      </x:c>
      <x:c r="G548" s="1" t="n">
        <x:v>2</x:v>
      </x:c>
      <x:c r="H548" s="2" t="n">
        <x:v>800</x:v>
      </x:c>
      <x:c r="I548" s="3" t="n">
        <x:v>0.1</x:v>
      </x:c>
      <x:c r="J548" s="2" t="n">
        <x:v>420</x:v>
      </x:c>
      <x:c r="K548" s="2" t="n">
        <x:v>50</x:v>
      </x:c>
      <x:c r="L548" s="2" t="n">
        <x:f>G548*H548</x:f>
        <x:v>1600</x:v>
      </x:c>
      <x:c r="M548" s="2" t="n">
        <x:f>ROUND(L548*(1-I548),2)</x:f>
        <x:v>1440</x:v>
      </x:c>
      <x:c r="N548" s="2" t="n">
        <x:f>G548*J548</x:f>
        <x:v>840</x:v>
      </x:c>
      <x:c r="O548" s="2" t="n">
        <x:f>M548-N548-K548</x:f>
        <x:v>550</x:v>
      </x:c>
      <x:c r="P548" s="1" t="str">
        <x:f>TEXT(B548,"yyyy-mm")</x:f>
        <x:v>2025-10</x:v>
      </x:c>
    </x:row>
    <x:row r="549">
      <x:c r="A549" s="1" t="str">
        <x:v>ORD-0545</x:v>
      </x:c>
      <x:c r="B549" s="4" t="d">
        <x:v>2025-04-12T00:00:00.000Z</x:v>
      </x:c>
      <x:c r="C549" s="1" t="str">
        <x:v>C-068</x:v>
      </x:c>
      <x:c r="D549" s="1" t="str">
        <x:v>South</x:v>
      </x:c>
      <x:c r="E549" s="1" t="str">
        <x:v>Fashion</x:v>
      </x:c>
      <x:c r="F549" s="1" t="str">
        <x:v>Sneakers</x:v>
      </x:c>
      <x:c r="G549" s="1" t="n">
        <x:v>3</x:v>
      </x:c>
      <x:c r="H549" s="2" t="n">
        <x:v>2400</x:v>
      </x:c>
      <x:c r="I549" s="3" t="n">
        <x:v>0.35</x:v>
      </x:c>
      <x:c r="J549" s="2" t="n">
        <x:v>1200</x:v>
      </x:c>
      <x:c r="K549" s="2" t="n">
        <x:v>120</x:v>
      </x:c>
      <x:c r="L549" s="2" t="n">
        <x:f>G549*H549</x:f>
        <x:v>7200</x:v>
      </x:c>
      <x:c r="M549" s="2" t="n">
        <x:f>ROUND(L549*(1-I549),2)</x:f>
        <x:v>4680</x:v>
      </x:c>
      <x:c r="N549" s="2" t="n">
        <x:f>G549*J549</x:f>
        <x:v>3600</x:v>
      </x:c>
      <x:c r="O549" s="2" t="n">
        <x:f>M549-N549-K549</x:f>
        <x:v>960</x:v>
      </x:c>
      <x:c r="P549" s="1" t="str">
        <x:f>TEXT(B549,"yyyy-mm")</x:f>
        <x:v>2025-04</x:v>
      </x:c>
    </x:row>
    <x:row r="550">
      <x:c r="A550" s="1" t="str">
        <x:v>ORD-0546</x:v>
      </x:c>
      <x:c r="B550" s="4" t="d">
        <x:v>2025-02-16T00:00:00.000Z</x:v>
      </x:c>
      <x:c r="C550" s="1" t="str">
        <x:v>C-299</x:v>
      </x:c>
      <x:c r="D550" s="1" t="str">
        <x:v>West</x:v>
      </x:c>
      <x:c r="E550" s="1" t="str">
        <x:v>Fashion</x:v>
      </x:c>
      <x:c r="F550" s="1" t="str">
        <x:v>Backpack</x:v>
      </x:c>
      <x:c r="G550" s="1" t="n">
        <x:v>3</x:v>
      </x:c>
      <x:c r="H550" s="2" t="n">
        <x:v>1300</x:v>
      </x:c>
      <x:c r="I550" s="3" t="n">
        <x:v>0.25</x:v>
      </x:c>
      <x:c r="J550" s="2" t="n">
        <x:v>650</x:v>
      </x:c>
      <x:c r="K550" s="2" t="n">
        <x:v>80</x:v>
      </x:c>
      <x:c r="L550" s="2" t="n">
        <x:f>G550*H550</x:f>
        <x:v>3900</x:v>
      </x:c>
      <x:c r="M550" s="2" t="n">
        <x:f>ROUND(L550*(1-I550),2)</x:f>
        <x:v>2925</x:v>
      </x:c>
      <x:c r="N550" s="2" t="n">
        <x:f>G550*J550</x:f>
        <x:v>1950</x:v>
      </x:c>
      <x:c r="O550" s="2" t="n">
        <x:f>M550-N550-K550</x:f>
        <x:v>895</x:v>
      </x:c>
      <x:c r="P550" s="1" t="str">
        <x:f>TEXT(B550,"yyyy-mm")</x:f>
        <x:v>2025-02</x:v>
      </x:c>
    </x:row>
    <x:row r="551">
      <x:c r="A551" s="1" t="str">
        <x:v>ORD-0547</x:v>
      </x:c>
      <x:c r="B551" s="4" t="d">
        <x:v>2025-11-01T00:00:00.000Z</x:v>
      </x:c>
      <x:c r="C551" s="1" t="str">
        <x:v>C-196</x:v>
      </x:c>
      <x:c r="D551" s="1" t="str">
        <x:v>South</x:v>
      </x:c>
      <x:c r="E551" s="1" t="str">
        <x:v>Home</x:v>
      </x:c>
      <x:c r="F551" s="1" t="str">
        <x:v>Storage box</x:v>
      </x:c>
      <x:c r="G551" s="1" t="n">
        <x:v>1</x:v>
      </x:c>
      <x:c r="H551" s="2" t="n">
        <x:v>800</x:v>
      </x:c>
      <x:c r="I551" s="3" t="n">
        <x:v>0</x:v>
      </x:c>
      <x:c r="J551" s="2" t="n">
        <x:v>420</x:v>
      </x:c>
      <x:c r="K551" s="2" t="n">
        <x:v>120</x:v>
      </x:c>
      <x:c r="L551" s="2" t="n">
        <x:f>G551*H551</x:f>
        <x:v>800</x:v>
      </x:c>
      <x:c r="M551" s="2" t="n">
        <x:f>ROUND(L551*(1-I551),2)</x:f>
        <x:v>800</x:v>
      </x:c>
      <x:c r="N551" s="2" t="n">
        <x:f>G551*J551</x:f>
        <x:v>420</x:v>
      </x:c>
      <x:c r="O551" s="2" t="n">
        <x:f>M551-N551-K551</x:f>
        <x:v>260</x:v>
      </x:c>
      <x:c r="P551" s="1" t="str">
        <x:f>TEXT(B551,"yyyy-mm")</x:f>
        <x:v>2025-11</x:v>
      </x:c>
    </x:row>
    <x:row r="552">
      <x:c r="A552" s="1" t="str">
        <x:v>ORD-0548</x:v>
      </x:c>
      <x:c r="B552" s="4" t="d">
        <x:v>2025-01-10T00:00:00.000Z</x:v>
      </x:c>
      <x:c r="C552" s="1" t="str">
        <x:v>C-129</x:v>
      </x:c>
      <x:c r="D552" s="1" t="str">
        <x:v>South</x:v>
      </x:c>
      <x:c r="E552" s="1" t="str">
        <x:v>Fashion</x:v>
      </x:c>
      <x:c r="F552" s="1" t="str">
        <x:v>Sneakers</x:v>
      </x:c>
      <x:c r="G552" s="1" t="n">
        <x:v>1</x:v>
      </x:c>
      <x:c r="H552" s="2" t="n">
        <x:v>2400</x:v>
      </x:c>
      <x:c r="I552" s="3" t="n">
        <x:v>0.05</x:v>
      </x:c>
      <x:c r="J552" s="2" t="n">
        <x:v>1200</x:v>
      </x:c>
      <x:c r="K552" s="2" t="n">
        <x:v>120</x:v>
      </x:c>
      <x:c r="L552" s="2" t="n">
        <x:f>G552*H552</x:f>
        <x:v>2400</x:v>
      </x:c>
      <x:c r="M552" s="2" t="n">
        <x:f>ROUND(L552*(1-I552),2)</x:f>
        <x:v>2280</x:v>
      </x:c>
      <x:c r="N552" s="2" t="n">
        <x:f>G552*J552</x:f>
        <x:v>1200</x:v>
      </x:c>
      <x:c r="O552" s="2" t="n">
        <x:f>M552-N552-K552</x:f>
        <x:v>960</x:v>
      </x:c>
      <x:c r="P552" s="1" t="str">
        <x:f>TEXT(B552,"yyyy-mm")</x:f>
        <x:v>2025-01</x:v>
      </x:c>
    </x:row>
    <x:row r="553">
      <x:c r="A553" s="1" t="str">
        <x:v>ORD-0549</x:v>
      </x:c>
      <x:c r="B553" s="4" t="d">
        <x:v>2025-11-02T00:00:00.000Z</x:v>
      </x:c>
      <x:c r="C553" s="1" t="str">
        <x:v>C-184</x:v>
      </x:c>
      <x:c r="D553" s="1" t="str">
        <x:v>West</x:v>
      </x:c>
      <x:c r="E553" s="1" t="str">
        <x:v>Fashion</x:v>
      </x:c>
      <x:c r="F553" s="1" t="str">
        <x:v>T-shirt</x:v>
      </x:c>
      <x:c r="G553" s="1" t="n">
        <x:v>1</x:v>
      </x:c>
      <x:c r="H553" s="2" t="n">
        <x:v>700</x:v>
      </x:c>
      <x:c r="I553" s="3" t="n">
        <x:v>0.25</x:v>
      </x:c>
      <x:c r="J553" s="2" t="n">
        <x:v>300</x:v>
      </x:c>
      <x:c r="K553" s="2" t="n">
        <x:v>120</x:v>
      </x:c>
      <x:c r="L553" s="2" t="n">
        <x:f>G553*H553</x:f>
        <x:v>700</x:v>
      </x:c>
      <x:c r="M553" s="2" t="n">
        <x:f>ROUND(L553*(1-I553),2)</x:f>
        <x:v>525</x:v>
      </x:c>
      <x:c r="N553" s="2" t="n">
        <x:f>G553*J553</x:f>
        <x:v>300</x:v>
      </x:c>
      <x:c r="O553" s="2" t="n">
        <x:f>M553-N553-K553</x:f>
        <x:v>105</x:v>
      </x:c>
      <x:c r="P553" s="1" t="str">
        <x:f>TEXT(B553,"yyyy-mm")</x:f>
        <x:v>2025-11</x:v>
      </x:c>
    </x:row>
    <x:row r="554">
      <x:c r="A554" s="1" t="str">
        <x:v>ORD-0550</x:v>
      </x:c>
      <x:c r="B554" s="4" t="d">
        <x:v>2025-11-24T00:00:00.000Z</x:v>
      </x:c>
      <x:c r="C554" s="1" t="str">
        <x:v>C-288</x:v>
      </x:c>
      <x:c r="D554" s="1" t="str">
        <x:v>West</x:v>
      </x:c>
      <x:c r="E554" s="1" t="str">
        <x:v>Home</x:v>
      </x:c>
      <x:c r="F554" s="1" t="str">
        <x:v>Storage box</x:v>
      </x:c>
      <x:c r="G554" s="1" t="n">
        <x:v>2</x:v>
      </x:c>
      <x:c r="H554" s="2" t="n">
        <x:v>800</x:v>
      </x:c>
      <x:c r="I554" s="3" t="n">
        <x:v>0.05</x:v>
      </x:c>
      <x:c r="J554" s="2" t="n">
        <x:v>420</x:v>
      </x:c>
      <x:c r="K554" s="2" t="n">
        <x:v>120</x:v>
      </x:c>
      <x:c r="L554" s="2" t="n">
        <x:f>G554*H554</x:f>
        <x:v>1600</x:v>
      </x:c>
      <x:c r="M554" s="2" t="n">
        <x:f>ROUND(L554*(1-I554),2)</x:f>
        <x:v>1520</x:v>
      </x:c>
      <x:c r="N554" s="2" t="n">
        <x:f>G554*J554</x:f>
        <x:v>840</x:v>
      </x:c>
      <x:c r="O554" s="2" t="n">
        <x:f>M554-N554-K554</x:f>
        <x:v>560</x:v>
      </x:c>
      <x:c r="P554" s="1" t="str">
        <x:f>TEXT(B554,"yyyy-mm")</x:f>
        <x:v>2025-11</x:v>
      </x:c>
    </x:row>
    <x:row r="555">
      <x:c r="A555" s="1" t="str">
        <x:v>ORD-0551</x:v>
      </x:c>
      <x:c r="B555" s="4" t="d">
        <x:v>2025-11-22T00:00:00.000Z</x:v>
      </x:c>
      <x:c r="C555" s="1" t="str">
        <x:v>C-025</x:v>
      </x:c>
      <x:c r="D555" s="1" t="str">
        <x:v>West</x:v>
      </x:c>
      <x:c r="E555" s="1" t="str">
        <x:v>Fashion</x:v>
      </x:c>
      <x:c r="F555" s="1" t="str">
        <x:v>Sneakers</x:v>
      </x:c>
      <x:c r="G555" s="1" t="n">
        <x:v>4</x:v>
      </x:c>
      <x:c r="H555" s="2" t="n">
        <x:v>2400</x:v>
      </x:c>
      <x:c r="I555" s="3" t="n">
        <x:v>0.35</x:v>
      </x:c>
      <x:c r="J555" s="2" t="n">
        <x:v>1200</x:v>
      </x:c>
      <x:c r="K555" s="2" t="n">
        <x:v>80</x:v>
      </x:c>
      <x:c r="L555" s="2" t="n">
        <x:f>G555*H555</x:f>
        <x:v>9600</x:v>
      </x:c>
      <x:c r="M555" s="2" t="n">
        <x:f>ROUND(L555*(1-I555),2)</x:f>
        <x:v>6240</x:v>
      </x:c>
      <x:c r="N555" s="2" t="n">
        <x:f>G555*J555</x:f>
        <x:v>4800</x:v>
      </x:c>
      <x:c r="O555" s="2" t="n">
        <x:f>M555-N555-K555</x:f>
        <x:v>1360</x:v>
      </x:c>
      <x:c r="P555" s="1" t="str">
        <x:f>TEXT(B555,"yyyy-mm")</x:f>
        <x:v>2025-11</x:v>
      </x:c>
    </x:row>
    <x:row r="556">
      <x:c r="A556" s="1" t="str">
        <x:v>ORD-0552</x:v>
      </x:c>
      <x:c r="B556" s="4" t="d">
        <x:v>2025-12-02T00:00:00.000Z</x:v>
      </x:c>
      <x:c r="C556" s="1" t="str">
        <x:v>C-007</x:v>
      </x:c>
      <x:c r="D556" s="1" t="str">
        <x:v>East</x:v>
      </x:c>
      <x:c r="E556" s="1" t="str">
        <x:v>Fashion</x:v>
      </x:c>
      <x:c r="F556" s="1" t="str">
        <x:v>Backpack</x:v>
      </x:c>
      <x:c r="G556" s="1" t="n">
        <x:v>2</x:v>
      </x:c>
      <x:c r="H556" s="2" t="n">
        <x:v>1300</x:v>
      </x:c>
      <x:c r="I556" s="3" t="n">
        <x:v>0.25</x:v>
      </x:c>
      <x:c r="J556" s="2" t="n">
        <x:v>650</x:v>
      </x:c>
      <x:c r="K556" s="2" t="n">
        <x:v>120</x:v>
      </x:c>
      <x:c r="L556" s="2" t="n">
        <x:f>G556*H556</x:f>
        <x:v>2600</x:v>
      </x:c>
      <x:c r="M556" s="2" t="n">
        <x:f>ROUND(L556*(1-I556),2)</x:f>
        <x:v>1950</x:v>
      </x:c>
      <x:c r="N556" s="2" t="n">
        <x:f>G556*J556</x:f>
        <x:v>1300</x:v>
      </x:c>
      <x:c r="O556" s="2" t="n">
        <x:f>M556-N556-K556</x:f>
        <x:v>530</x:v>
      </x:c>
      <x:c r="P556" s="1" t="str">
        <x:f>TEXT(B556,"yyyy-mm")</x:f>
        <x:v>2025-12</x:v>
      </x:c>
    </x:row>
    <x:row r="557">
      <x:c r="A557" s="1" t="str">
        <x:v>ORD-0553</x:v>
      </x:c>
      <x:c r="B557" s="4" t="d">
        <x:v>2025-11-30T00:00:00.000Z</x:v>
      </x:c>
      <x:c r="C557" s="1" t="str">
        <x:v>C-189</x:v>
      </x:c>
      <x:c r="D557" s="1" t="str">
        <x:v>South</x:v>
      </x:c>
      <x:c r="E557" s="1" t="str">
        <x:v>Home</x:v>
      </x:c>
      <x:c r="F557" s="1" t="str">
        <x:v>Desk lamp</x:v>
      </x:c>
      <x:c r="G557" s="1" t="n">
        <x:v>2</x:v>
      </x:c>
      <x:c r="H557" s="2" t="n">
        <x:v>1100</x:v>
      </x:c>
      <x:c r="I557" s="3" t="n">
        <x:v>0.05</x:v>
      </x:c>
      <x:c r="J557" s="2" t="n">
        <x:v>650</x:v>
      </x:c>
      <x:c r="K557" s="2" t="n">
        <x:v>80</x:v>
      </x:c>
      <x:c r="L557" s="2" t="n">
        <x:f>G557*H557</x:f>
        <x:v>2200</x:v>
      </x:c>
      <x:c r="M557" s="2" t="n">
        <x:f>ROUND(L557*(1-I557),2)</x:f>
        <x:v>2090</x:v>
      </x:c>
      <x:c r="N557" s="2" t="n">
        <x:f>G557*J557</x:f>
        <x:v>1300</x:v>
      </x:c>
      <x:c r="O557" s="2" t="n">
        <x:f>M557-N557-K557</x:f>
        <x:v>710</x:v>
      </x:c>
      <x:c r="P557" s="1" t="str">
        <x:f>TEXT(B557,"yyyy-mm")</x:f>
        <x:v>2025-11</x:v>
      </x:c>
    </x:row>
    <x:row r="558">
      <x:c r="A558" s="1" t="str">
        <x:v>ORD-0554</x:v>
      </x:c>
      <x:c r="B558" s="4" t="d">
        <x:v>2025-07-31T00:00:00.000Z</x:v>
      </x:c>
      <x:c r="C558" s="1" t="str">
        <x:v>C-089</x:v>
      </x:c>
      <x:c r="D558" s="1" t="str">
        <x:v>North</x:v>
      </x:c>
      <x:c r="E558" s="1" t="str">
        <x:v>Electronics</x:v>
      </x:c>
      <x:c r="F558" s="1" t="str">
        <x:v>Keyboard</x:v>
      </x:c>
      <x:c r="G558" s="1" t="n">
        <x:v>4</x:v>
      </x:c>
      <x:c r="H558" s="2" t="n">
        <x:v>1500</x:v>
      </x:c>
      <x:c r="I558" s="3" t="n">
        <x:v>0.05</x:v>
      </x:c>
      <x:c r="J558" s="2" t="n">
        <x:v>900</x:v>
      </x:c>
      <x:c r="K558" s="2" t="n">
        <x:v>50</x:v>
      </x:c>
      <x:c r="L558" s="2" t="n">
        <x:f>G558*H558</x:f>
        <x:v>6000</x:v>
      </x:c>
      <x:c r="M558" s="2" t="n">
        <x:f>ROUND(L558*(1-I558),2)</x:f>
        <x:v>5700</x:v>
      </x:c>
      <x:c r="N558" s="2" t="n">
        <x:f>G558*J558</x:f>
        <x:v>3600</x:v>
      </x:c>
      <x:c r="O558" s="2" t="n">
        <x:f>M558-N558-K558</x:f>
        <x:v>2050</x:v>
      </x:c>
      <x:c r="P558" s="1" t="str">
        <x:f>TEXT(B558,"yyyy-mm")</x:f>
        <x:v>2025-07</x:v>
      </x:c>
    </x:row>
    <x:row r="559">
      <x:c r="A559" s="1" t="str">
        <x:v>ORD-0555</x:v>
      </x:c>
      <x:c r="B559" s="4" t="d">
        <x:v>2025-07-05T00:00:00.000Z</x:v>
      </x:c>
      <x:c r="C559" s="1" t="str">
        <x:v>C-083</x:v>
      </x:c>
      <x:c r="D559" s="1" t="str">
        <x:v>East</x:v>
      </x:c>
      <x:c r="E559" s="1" t="str">
        <x:v>Home</x:v>
      </x:c>
      <x:c r="F559" s="1" t="str">
        <x:v>Storage box</x:v>
      </x:c>
      <x:c r="G559" s="1" t="n">
        <x:v>1</x:v>
      </x:c>
      <x:c r="H559" s="2" t="n">
        <x:v>800</x:v>
      </x:c>
      <x:c r="I559" s="3" t="n">
        <x:v>0.1</x:v>
      </x:c>
      <x:c r="J559" s="2" t="n">
        <x:v>420</x:v>
      </x:c>
      <x:c r="K559" s="2" t="n">
        <x:v>80</x:v>
      </x:c>
      <x:c r="L559" s="2" t="n">
        <x:f>G559*H559</x:f>
        <x:v>800</x:v>
      </x:c>
      <x:c r="M559" s="2" t="n">
        <x:f>ROUND(L559*(1-I559),2)</x:f>
        <x:v>720</x:v>
      </x:c>
      <x:c r="N559" s="2" t="n">
        <x:f>G559*J559</x:f>
        <x:v>420</x:v>
      </x:c>
      <x:c r="O559" s="2" t="n">
        <x:f>M559-N559-K559</x:f>
        <x:v>220</x:v>
      </x:c>
      <x:c r="P559" s="1" t="str">
        <x:f>TEXT(B559,"yyyy-mm")</x:f>
        <x:v>2025-07</x:v>
      </x:c>
    </x:row>
    <x:row r="560">
      <x:c r="A560" s="1" t="str">
        <x:v>ORD-0556</x:v>
      </x:c>
      <x:c r="B560" s="4" t="d">
        <x:v>2025-07-05T00:00:00.000Z</x:v>
      </x:c>
      <x:c r="C560" s="1" t="str">
        <x:v>C-166</x:v>
      </x:c>
      <x:c r="D560" s="1" t="str">
        <x:v>North</x:v>
      </x:c>
      <x:c r="E560" s="1" t="str">
        <x:v>Electronics</x:v>
      </x:c>
      <x:c r="F560" s="1" t="str">
        <x:v>Smartwatch</x:v>
      </x:c>
      <x:c r="G560" s="1" t="n">
        <x:v>3</x:v>
      </x:c>
      <x:c r="H560" s="2" t="n">
        <x:v>4200</x:v>
      </x:c>
      <x:c r="I560" s="3" t="n">
        <x:v>0</x:v>
      </x:c>
      <x:c r="J560" s="2" t="n">
        <x:v>3000</x:v>
      </x:c>
      <x:c r="K560" s="2" t="n">
        <x:v>80</x:v>
      </x:c>
      <x:c r="L560" s="2" t="n">
        <x:f>G560*H560</x:f>
        <x:v>12600</x:v>
      </x:c>
      <x:c r="M560" s="2" t="n">
        <x:f>ROUND(L560*(1-I560),2)</x:f>
        <x:v>12600</x:v>
      </x:c>
      <x:c r="N560" s="2" t="n">
        <x:f>G560*J560</x:f>
        <x:v>9000</x:v>
      </x:c>
      <x:c r="O560" s="2" t="n">
        <x:f>M560-N560-K560</x:f>
        <x:v>3520</x:v>
      </x:c>
      <x:c r="P560" s="1" t="str">
        <x:f>TEXT(B560,"yyyy-mm")</x:f>
        <x:v>2025-07</x:v>
      </x:c>
    </x:row>
    <x:row r="561">
      <x:c r="A561" s="1" t="str">
        <x:v>ORD-0557</x:v>
      </x:c>
      <x:c r="B561" s="4" t="d">
        <x:v>2025-11-03T00:00:00.000Z</x:v>
      </x:c>
      <x:c r="C561" s="1" t="str">
        <x:v>C-163</x:v>
      </x:c>
      <x:c r="D561" s="1" t="str">
        <x:v>South</x:v>
      </x:c>
      <x:c r="E561" s="1" t="str">
        <x:v>Home</x:v>
      </x:c>
      <x:c r="F561" s="1" t="str">
        <x:v>Storage box</x:v>
      </x:c>
      <x:c r="G561" s="1" t="n">
        <x:v>2</x:v>
      </x:c>
      <x:c r="H561" s="2" t="n">
        <x:v>800</x:v>
      </x:c>
      <x:c r="I561" s="3" t="n">
        <x:v>0.1</x:v>
      </x:c>
      <x:c r="J561" s="2" t="n">
        <x:v>420</x:v>
      </x:c>
      <x:c r="K561" s="2" t="n">
        <x:v>120</x:v>
      </x:c>
      <x:c r="L561" s="2" t="n">
        <x:f>G561*H561</x:f>
        <x:v>1600</x:v>
      </x:c>
      <x:c r="M561" s="2" t="n">
        <x:f>ROUND(L561*(1-I561),2)</x:f>
        <x:v>1440</x:v>
      </x:c>
      <x:c r="N561" s="2" t="n">
        <x:f>G561*J561</x:f>
        <x:v>840</x:v>
      </x:c>
      <x:c r="O561" s="2" t="n">
        <x:f>M561-N561-K561</x:f>
        <x:v>480</x:v>
      </x:c>
      <x:c r="P561" s="1" t="str">
        <x:f>TEXT(B561,"yyyy-mm")</x:f>
        <x:v>2025-11</x:v>
      </x:c>
    </x:row>
    <x:row r="562">
      <x:c r="A562" s="1" t="str">
        <x:v>ORD-0558</x:v>
      </x:c>
      <x:c r="B562" s="4" t="d">
        <x:v>2025-02-14T00:00:00.000Z</x:v>
      </x:c>
      <x:c r="C562" s="1" t="str">
        <x:v>C-279</x:v>
      </x:c>
      <x:c r="D562" s="1" t="str">
        <x:v>West</x:v>
      </x:c>
      <x:c r="E562" s="1" t="str">
        <x:v>Home</x:v>
      </x:c>
      <x:c r="F562" s="1" t="str">
        <x:v>Storage box</x:v>
      </x:c>
      <x:c r="G562" s="1" t="n">
        <x:v>1</x:v>
      </x:c>
      <x:c r="H562" s="2" t="n">
        <x:v>800</x:v>
      </x:c>
      <x:c r="I562" s="3" t="n">
        <x:v>0.05</x:v>
      </x:c>
      <x:c r="J562" s="2" t="n">
        <x:v>420</x:v>
      </x:c>
      <x:c r="K562" s="2" t="n">
        <x:v>80</x:v>
      </x:c>
      <x:c r="L562" s="2" t="n">
        <x:f>G562*H562</x:f>
        <x:v>800</x:v>
      </x:c>
      <x:c r="M562" s="2" t="n">
        <x:f>ROUND(L562*(1-I562),2)</x:f>
        <x:v>760</x:v>
      </x:c>
      <x:c r="N562" s="2" t="n">
        <x:f>G562*J562</x:f>
        <x:v>420</x:v>
      </x:c>
      <x:c r="O562" s="2" t="n">
        <x:f>M562-N562-K562</x:f>
        <x:v>260</x:v>
      </x:c>
      <x:c r="P562" s="1" t="str">
        <x:f>TEXT(B562,"yyyy-mm")</x:f>
        <x:v>2025-02</x:v>
      </x:c>
    </x:row>
    <x:row r="563">
      <x:c r="A563" s="1" t="str">
        <x:v>ORD-0559</x:v>
      </x:c>
      <x:c r="B563" s="4" t="d">
        <x:v>2025-04-11T00:00:00.000Z</x:v>
      </x:c>
      <x:c r="C563" s="1" t="str">
        <x:v>C-170</x:v>
      </x:c>
      <x:c r="D563" s="1" t="str">
        <x:v>East</x:v>
      </x:c>
      <x:c r="E563" s="1" t="str">
        <x:v>Fashion</x:v>
      </x:c>
      <x:c r="F563" s="1" t="str">
        <x:v>T-shirt</x:v>
      </x:c>
      <x:c r="G563" s="1" t="n">
        <x:v>3</x:v>
      </x:c>
      <x:c r="H563" s="2" t="n">
        <x:v>700</x:v>
      </x:c>
      <x:c r="I563" s="3" t="n">
        <x:v>0.35</x:v>
      </x:c>
      <x:c r="J563" s="2" t="n">
        <x:v>300</x:v>
      </x:c>
      <x:c r="K563" s="2" t="n">
        <x:v>50</x:v>
      </x:c>
      <x:c r="L563" s="2" t="n">
        <x:f>G563*H563</x:f>
        <x:v>2100</x:v>
      </x:c>
      <x:c r="M563" s="2" t="n">
        <x:f>ROUND(L563*(1-I563),2)</x:f>
        <x:v>1365</x:v>
      </x:c>
      <x:c r="N563" s="2" t="n">
        <x:f>G563*J563</x:f>
        <x:v>900</x:v>
      </x:c>
      <x:c r="O563" s="2" t="n">
        <x:f>M563-N563-K563</x:f>
        <x:v>415</x:v>
      </x:c>
      <x:c r="P563" s="1" t="str">
        <x:f>TEXT(B563,"yyyy-mm")</x:f>
        <x:v>2025-04</x:v>
      </x:c>
    </x:row>
    <x:row r="564">
      <x:c r="A564" s="1" t="str">
        <x:v>ORD-0560</x:v>
      </x:c>
      <x:c r="B564" s="4" t="d">
        <x:v>2025-12-18T00:00:00.000Z</x:v>
      </x:c>
      <x:c r="C564" s="1" t="str">
        <x:v>C-005</x:v>
      </x:c>
      <x:c r="D564" s="1" t="str">
        <x:v>North</x:v>
      </x:c>
      <x:c r="E564" s="1" t="str">
        <x:v>Home</x:v>
      </x:c>
      <x:c r="F564" s="1" t="str">
        <x:v>Storage box</x:v>
      </x:c>
      <x:c r="G564" s="1" t="n">
        <x:v>3</x:v>
      </x:c>
      <x:c r="H564" s="2" t="n">
        <x:v>800</x:v>
      </x:c>
      <x:c r="I564" s="3" t="n">
        <x:v>0.15</x:v>
      </x:c>
      <x:c r="J564" s="2" t="n">
        <x:v>420</x:v>
      </x:c>
      <x:c r="K564" s="2" t="n">
        <x:v>80</x:v>
      </x:c>
      <x:c r="L564" s="2" t="n">
        <x:f>G564*H564</x:f>
        <x:v>2400</x:v>
      </x:c>
      <x:c r="M564" s="2" t="n">
        <x:f>ROUND(L564*(1-I564),2)</x:f>
        <x:v>2040</x:v>
      </x:c>
      <x:c r="N564" s="2" t="n">
        <x:f>G564*J564</x:f>
        <x:v>1260</x:v>
      </x:c>
      <x:c r="O564" s="2" t="n">
        <x:f>M564-N564-K564</x:f>
        <x:v>700</x:v>
      </x:c>
      <x:c r="P564" s="1" t="str">
        <x:f>TEXT(B564,"yyyy-mm")</x:f>
        <x:v>2025-12</x:v>
      </x:c>
    </x:row>
    <x:row r="565">
      <x:c r="A565" s="1" t="str">
        <x:v>ORD-0561</x:v>
      </x:c>
      <x:c r="B565" s="4" t="d">
        <x:v>2025-04-22T00:00:00.000Z</x:v>
      </x:c>
      <x:c r="C565" s="1" t="str">
        <x:v>C-165</x:v>
      </x:c>
      <x:c r="D565" s="1" t="str">
        <x:v>West</x:v>
      </x:c>
      <x:c r="E565" s="1" t="str">
        <x:v>Fashion</x:v>
      </x:c>
      <x:c r="F565" s="1" t="str">
        <x:v>T-shirt</x:v>
      </x:c>
      <x:c r="G565" s="1" t="n">
        <x:v>1</x:v>
      </x:c>
      <x:c r="H565" s="2" t="n">
        <x:v>700</x:v>
      </x:c>
      <x:c r="I565" s="3" t="n">
        <x:v>0</x:v>
      </x:c>
      <x:c r="J565" s="2" t="n">
        <x:v>300</x:v>
      </x:c>
      <x:c r="K565" s="2" t="n">
        <x:v>80</x:v>
      </x:c>
      <x:c r="L565" s="2" t="n">
        <x:f>G565*H565</x:f>
        <x:v>700</x:v>
      </x:c>
      <x:c r="M565" s="2" t="n">
        <x:f>ROUND(L565*(1-I565),2)</x:f>
        <x:v>700</x:v>
      </x:c>
      <x:c r="N565" s="2" t="n">
        <x:f>G565*J565</x:f>
        <x:v>300</x:v>
      </x:c>
      <x:c r="O565" s="2" t="n">
        <x:f>M565-N565-K565</x:f>
        <x:v>320</x:v>
      </x:c>
      <x:c r="P565" s="1" t="str">
        <x:f>TEXT(B565,"yyyy-mm")</x:f>
        <x:v>2025-04</x:v>
      </x:c>
    </x:row>
    <x:row r="566">
      <x:c r="A566" s="1" t="str">
        <x:v>ORD-0562</x:v>
      </x:c>
      <x:c r="B566" s="4" t="d">
        <x:v>2025-04-30T00:00:00.000Z</x:v>
      </x:c>
      <x:c r="C566" s="1" t="str">
        <x:v>C-265</x:v>
      </x:c>
      <x:c r="D566" s="1" t="str">
        <x:v>East</x:v>
      </x:c>
      <x:c r="E566" s="1" t="str">
        <x:v>Fashion</x:v>
      </x:c>
      <x:c r="F566" s="1" t="str">
        <x:v>Sneakers</x:v>
      </x:c>
      <x:c r="G566" s="1" t="n">
        <x:v>4</x:v>
      </x:c>
      <x:c r="H566" s="2" t="n">
        <x:v>2400</x:v>
      </x:c>
      <x:c r="I566" s="3" t="n">
        <x:v>0</x:v>
      </x:c>
      <x:c r="J566" s="2" t="n">
        <x:v>1200</x:v>
      </x:c>
      <x:c r="K566" s="2" t="n">
        <x:v>80</x:v>
      </x:c>
      <x:c r="L566" s="2" t="n">
        <x:f>G566*H566</x:f>
        <x:v>9600</x:v>
      </x:c>
      <x:c r="M566" s="2" t="n">
        <x:f>ROUND(L566*(1-I566),2)</x:f>
        <x:v>9600</x:v>
      </x:c>
      <x:c r="N566" s="2" t="n">
        <x:f>G566*J566</x:f>
        <x:v>4800</x:v>
      </x:c>
      <x:c r="O566" s="2" t="n">
        <x:f>M566-N566-K566</x:f>
        <x:v>4720</x:v>
      </x:c>
      <x:c r="P566" s="1" t="str">
        <x:f>TEXT(B566,"yyyy-mm")</x:f>
        <x:v>2025-04</x:v>
      </x:c>
    </x:row>
    <x:row r="567">
      <x:c r="A567" s="1" t="str">
        <x:v>ORD-0563</x:v>
      </x:c>
      <x:c r="B567" s="4" t="d">
        <x:v>2025-01-17T00:00:00.000Z</x:v>
      </x:c>
      <x:c r="C567" s="1" t="str">
        <x:v>C-043</x:v>
      </x:c>
      <x:c r="D567" s="1" t="str">
        <x:v>North</x:v>
      </x:c>
      <x:c r="E567" s="1" t="str">
        <x:v>Fashion</x:v>
      </x:c>
      <x:c r="F567" s="1" t="str">
        <x:v>T-shirt</x:v>
      </x:c>
      <x:c r="G567" s="1" t="n">
        <x:v>2</x:v>
      </x:c>
      <x:c r="H567" s="2" t="n">
        <x:v>700</x:v>
      </x:c>
      <x:c r="I567" s="3" t="n">
        <x:v>0.1</x:v>
      </x:c>
      <x:c r="J567" s="2" t="n">
        <x:v>300</x:v>
      </x:c>
      <x:c r="K567" s="2" t="n">
        <x:v>120</x:v>
      </x:c>
      <x:c r="L567" s="2" t="n">
        <x:f>G567*H567</x:f>
        <x:v>1400</x:v>
      </x:c>
      <x:c r="M567" s="2" t="n">
        <x:f>ROUND(L567*(1-I567),2)</x:f>
        <x:v>1260</x:v>
      </x:c>
      <x:c r="N567" s="2" t="n">
        <x:f>G567*J567</x:f>
        <x:v>600</x:v>
      </x:c>
      <x:c r="O567" s="2" t="n">
        <x:f>M567-N567-K567</x:f>
        <x:v>540</x:v>
      </x:c>
      <x:c r="P567" s="1" t="str">
        <x:f>TEXT(B567,"yyyy-mm")</x:f>
        <x:v>2025-01</x:v>
      </x:c>
    </x:row>
    <x:row r="568">
      <x:c r="A568" s="1" t="str">
        <x:v>ORD-0564</x:v>
      </x:c>
      <x:c r="B568" s="4" t="d">
        <x:v>2025-08-22T00:00:00.000Z</x:v>
      </x:c>
      <x:c r="C568" s="1" t="str">
        <x:v>C-110</x:v>
      </x:c>
      <x:c r="D568" s="1" t="str">
        <x:v>West</x:v>
      </x:c>
      <x:c r="E568" s="1" t="str">
        <x:v>Electronics</x:v>
      </x:c>
      <x:c r="F568" s="1" t="str">
        <x:v>Keyboard</x:v>
      </x:c>
      <x:c r="G568" s="1" t="n">
        <x:v>1</x:v>
      </x:c>
      <x:c r="H568" s="2" t="n">
        <x:v>1500</x:v>
      </x:c>
      <x:c r="I568" s="3" t="n">
        <x:v>0.05</x:v>
      </x:c>
      <x:c r="J568" s="2" t="n">
        <x:v>900</x:v>
      </x:c>
      <x:c r="K568" s="2" t="n">
        <x:v>50</x:v>
      </x:c>
      <x:c r="L568" s="2" t="n">
        <x:f>G568*H568</x:f>
        <x:v>1500</x:v>
      </x:c>
      <x:c r="M568" s="2" t="n">
        <x:f>ROUND(L568*(1-I568),2)</x:f>
        <x:v>1425</x:v>
      </x:c>
      <x:c r="N568" s="2" t="n">
        <x:f>G568*J568</x:f>
        <x:v>900</x:v>
      </x:c>
      <x:c r="O568" s="2" t="n">
        <x:f>M568-N568-K568</x:f>
        <x:v>475</x:v>
      </x:c>
      <x:c r="P568" s="1" t="str">
        <x:f>TEXT(B568,"yyyy-mm")</x:f>
        <x:v>2025-08</x:v>
      </x:c>
    </x:row>
    <x:row r="569">
      <x:c r="A569" s="1" t="str">
        <x:v>ORD-0565</x:v>
      </x:c>
      <x:c r="B569" s="4" t="d">
        <x:v>2025-08-27T00:00:00.000Z</x:v>
      </x:c>
      <x:c r="C569" s="1" t="str">
        <x:v>C-037</x:v>
      </x:c>
      <x:c r="D569" s="1" t="str">
        <x:v>South</x:v>
      </x:c>
      <x:c r="E569" s="1" t="str">
        <x:v>Home</x:v>
      </x:c>
      <x:c r="F569" s="1" t="str">
        <x:v>Office chair</x:v>
      </x:c>
      <x:c r="G569" s="1" t="n">
        <x:v>1</x:v>
      </x:c>
      <x:c r="H569" s="2" t="n">
        <x:v>5500</x:v>
      </x:c>
      <x:c r="I569" s="3" t="n">
        <x:v>0.35</x:v>
      </x:c>
      <x:c r="J569" s="2" t="n">
        <x:v>4400</x:v>
      </x:c>
      <x:c r="K569" s="2" t="n">
        <x:v>80</x:v>
      </x:c>
      <x:c r="L569" s="2" t="n">
        <x:f>G569*H569</x:f>
        <x:v>5500</x:v>
      </x:c>
      <x:c r="M569" s="2" t="n">
        <x:f>ROUND(L569*(1-I569),2)</x:f>
        <x:v>3575</x:v>
      </x:c>
      <x:c r="N569" s="2" t="n">
        <x:f>G569*J569</x:f>
        <x:v>4400</x:v>
      </x:c>
      <x:c r="O569" s="2" t="n">
        <x:f>M569-N569-K569</x:f>
        <x:v>-905</x:v>
      </x:c>
      <x:c r="P569" s="1" t="str">
        <x:f>TEXT(B569,"yyyy-mm")</x:f>
        <x:v>2025-08</x:v>
      </x:c>
    </x:row>
    <x:row r="570">
      <x:c r="A570" s="1" t="str">
        <x:v>ORD-0566</x:v>
      </x:c>
      <x:c r="B570" s="4" t="d">
        <x:v>2025-10-03T00:00:00.000Z</x:v>
      </x:c>
      <x:c r="C570" s="1" t="str">
        <x:v>C-028</x:v>
      </x:c>
      <x:c r="D570" s="1" t="str">
        <x:v>South</x:v>
      </x:c>
      <x:c r="E570" s="1" t="str">
        <x:v>Electronics</x:v>
      </x:c>
      <x:c r="F570" s="1" t="str">
        <x:v>Headphones</x:v>
      </x:c>
      <x:c r="G570" s="1" t="n">
        <x:v>3</x:v>
      </x:c>
      <x:c r="H570" s="2" t="n">
        <x:v>2200</x:v>
      </x:c>
      <x:c r="I570" s="3" t="n">
        <x:v>0</x:v>
      </x:c>
      <x:c r="J570" s="2" t="n">
        <x:v>1450</x:v>
      </x:c>
      <x:c r="K570" s="2" t="n">
        <x:v>120</x:v>
      </x:c>
      <x:c r="L570" s="2" t="n">
        <x:f>G570*H570</x:f>
        <x:v>6600</x:v>
      </x:c>
      <x:c r="M570" s="2" t="n">
        <x:f>ROUND(L570*(1-I570),2)</x:f>
        <x:v>6600</x:v>
      </x:c>
      <x:c r="N570" s="2" t="n">
        <x:f>G570*J570</x:f>
        <x:v>4350</x:v>
      </x:c>
      <x:c r="O570" s="2" t="n">
        <x:f>M570-N570-K570</x:f>
        <x:v>2130</x:v>
      </x:c>
      <x:c r="P570" s="1" t="str">
        <x:f>TEXT(B570,"yyyy-mm")</x:f>
        <x:v>2025-10</x:v>
      </x:c>
    </x:row>
    <x:row r="571">
      <x:c r="A571" s="1" t="str">
        <x:v>ORD-0567</x:v>
      </x:c>
      <x:c r="B571" s="4" t="d">
        <x:v>2025-02-14T00:00:00.000Z</x:v>
      </x:c>
      <x:c r="C571" s="1" t="str">
        <x:v>C-199</x:v>
      </x:c>
      <x:c r="D571" s="1" t="str">
        <x:v>West</x:v>
      </x:c>
      <x:c r="E571" s="1" t="str">
        <x:v>Fashion</x:v>
      </x:c>
      <x:c r="F571" s="1" t="str">
        <x:v>T-shirt</x:v>
      </x:c>
      <x:c r="G571" s="1" t="n">
        <x:v>4</x:v>
      </x:c>
      <x:c r="H571" s="2" t="n">
        <x:v>700</x:v>
      </x:c>
      <x:c r="I571" s="3" t="n">
        <x:v>0.1</x:v>
      </x:c>
      <x:c r="J571" s="2" t="n">
        <x:v>300</x:v>
      </x:c>
      <x:c r="K571" s="2" t="n">
        <x:v>80</x:v>
      </x:c>
      <x:c r="L571" s="2" t="n">
        <x:f>G571*H571</x:f>
        <x:v>2800</x:v>
      </x:c>
      <x:c r="M571" s="2" t="n">
        <x:f>ROUND(L571*(1-I571),2)</x:f>
        <x:v>2520</x:v>
      </x:c>
      <x:c r="N571" s="2" t="n">
        <x:f>G571*J571</x:f>
        <x:v>1200</x:v>
      </x:c>
      <x:c r="O571" s="2" t="n">
        <x:f>M571-N571-K571</x:f>
        <x:v>1240</x:v>
      </x:c>
      <x:c r="P571" s="1" t="str">
        <x:f>TEXT(B571,"yyyy-mm")</x:f>
        <x:v>2025-02</x:v>
      </x:c>
    </x:row>
    <x:row r="572">
      <x:c r="A572" s="1" t="str">
        <x:v>ORD-0568</x:v>
      </x:c>
      <x:c r="B572" s="4" t="d">
        <x:v>2025-05-04T00:00:00.000Z</x:v>
      </x:c>
      <x:c r="C572" s="1" t="str">
        <x:v>C-274</x:v>
      </x:c>
      <x:c r="D572" s="1" t="str">
        <x:v>North</x:v>
      </x:c>
      <x:c r="E572" s="1" t="str">
        <x:v>Home</x:v>
      </x:c>
      <x:c r="F572" s="1" t="str">
        <x:v>Office chair</x:v>
      </x:c>
      <x:c r="G572" s="1" t="n">
        <x:v>1</x:v>
      </x:c>
      <x:c r="H572" s="2" t="n">
        <x:v>5500</x:v>
      </x:c>
      <x:c r="I572" s="3" t="n">
        <x:v>0.35</x:v>
      </x:c>
      <x:c r="J572" s="2" t="n">
        <x:v>4400</x:v>
      </x:c>
      <x:c r="K572" s="2" t="n">
        <x:v>120</x:v>
      </x:c>
      <x:c r="L572" s="2" t="n">
        <x:f>G572*H572</x:f>
        <x:v>5500</x:v>
      </x:c>
      <x:c r="M572" s="2" t="n">
        <x:f>ROUND(L572*(1-I572),2)</x:f>
        <x:v>3575</x:v>
      </x:c>
      <x:c r="N572" s="2" t="n">
        <x:f>G572*J572</x:f>
        <x:v>4400</x:v>
      </x:c>
      <x:c r="O572" s="2" t="n">
        <x:f>M572-N572-K572</x:f>
        <x:v>-945</x:v>
      </x:c>
      <x:c r="P572" s="1" t="str">
        <x:f>TEXT(B572,"yyyy-mm")</x:f>
        <x:v>2025-05</x:v>
      </x:c>
    </x:row>
    <x:row r="573">
      <x:c r="A573" s="1" t="str">
        <x:v>ORD-0569</x:v>
      </x:c>
      <x:c r="B573" s="4" t="d">
        <x:v>2025-09-30T00:00:00.000Z</x:v>
      </x:c>
      <x:c r="C573" s="1" t="str">
        <x:v>C-258</x:v>
      </x:c>
      <x:c r="D573" s="1" t="str">
        <x:v>North</x:v>
      </x:c>
      <x:c r="E573" s="1" t="str">
        <x:v>Electronics</x:v>
      </x:c>
      <x:c r="F573" s="1" t="str">
        <x:v>Keyboard</x:v>
      </x:c>
      <x:c r="G573" s="1" t="n">
        <x:v>3</x:v>
      </x:c>
      <x:c r="H573" s="2" t="n">
        <x:v>1500</x:v>
      </x:c>
      <x:c r="I573" s="3" t="n">
        <x:v>0.1</x:v>
      </x:c>
      <x:c r="J573" s="2" t="n">
        <x:v>900</x:v>
      </x:c>
      <x:c r="K573" s="2" t="n">
        <x:v>120</x:v>
      </x:c>
      <x:c r="L573" s="2" t="n">
        <x:f>G573*H573</x:f>
        <x:v>4500</x:v>
      </x:c>
      <x:c r="M573" s="2" t="n">
        <x:f>ROUND(L573*(1-I573),2)</x:f>
        <x:v>4050</x:v>
      </x:c>
      <x:c r="N573" s="2" t="n">
        <x:f>G573*J573</x:f>
        <x:v>2700</x:v>
      </x:c>
      <x:c r="O573" s="2" t="n">
        <x:f>M573-N573-K573</x:f>
        <x:v>1230</x:v>
      </x:c>
      <x:c r="P573" s="1" t="str">
        <x:f>TEXT(B573,"yyyy-mm")</x:f>
        <x:v>2025-09</x:v>
      </x:c>
    </x:row>
    <x:row r="574">
      <x:c r="A574" s="1" t="str">
        <x:v>ORD-0570</x:v>
      </x:c>
      <x:c r="B574" s="4" t="d">
        <x:v>2025-05-25T00:00:00.000Z</x:v>
      </x:c>
      <x:c r="C574" s="1" t="str">
        <x:v>C-225</x:v>
      </x:c>
      <x:c r="D574" s="1" t="str">
        <x:v>West</x:v>
      </x:c>
      <x:c r="E574" s="1" t="str">
        <x:v>Electronics</x:v>
      </x:c>
      <x:c r="F574" s="1" t="str">
        <x:v>Keyboard</x:v>
      </x:c>
      <x:c r="G574" s="1" t="n">
        <x:v>4</x:v>
      </x:c>
      <x:c r="H574" s="2" t="n">
        <x:v>1500</x:v>
      </x:c>
      <x:c r="I574" s="3" t="n">
        <x:v>0.1</x:v>
      </x:c>
      <x:c r="J574" s="2" t="n">
        <x:v>900</x:v>
      </x:c>
      <x:c r="K574" s="2" t="n">
        <x:v>120</x:v>
      </x:c>
      <x:c r="L574" s="2" t="n">
        <x:f>G574*H574</x:f>
        <x:v>6000</x:v>
      </x:c>
      <x:c r="M574" s="2" t="n">
        <x:f>ROUND(L574*(1-I574),2)</x:f>
        <x:v>5400</x:v>
      </x:c>
      <x:c r="N574" s="2" t="n">
        <x:f>G574*J574</x:f>
        <x:v>3600</x:v>
      </x:c>
      <x:c r="O574" s="2" t="n">
        <x:f>M574-N574-K574</x:f>
        <x:v>1680</x:v>
      </x:c>
      <x:c r="P574" s="1" t="str">
        <x:f>TEXT(B574,"yyyy-mm")</x:f>
        <x:v>2025-05</x:v>
      </x:c>
    </x:row>
    <x:row r="575">
      <x:c r="A575" s="1" t="str">
        <x:v>ORD-0571</x:v>
      </x:c>
      <x:c r="B575" s="4" t="d">
        <x:v>2025-01-08T00:00:00.000Z</x:v>
      </x:c>
      <x:c r="C575" s="1" t="str">
        <x:v>C-070</x:v>
      </x:c>
      <x:c r="D575" s="1" t="str">
        <x:v>West</x:v>
      </x:c>
      <x:c r="E575" s="1" t="str">
        <x:v>Electronics</x:v>
      </x:c>
      <x:c r="F575" s="1" t="str">
        <x:v>Smartwatch</x:v>
      </x:c>
      <x:c r="G575" s="1" t="n">
        <x:v>3</x:v>
      </x:c>
      <x:c r="H575" s="2" t="n">
        <x:v>4200</x:v>
      </x:c>
      <x:c r="I575" s="3" t="n">
        <x:v>0.25</x:v>
      </x:c>
      <x:c r="J575" s="2" t="n">
        <x:v>3000</x:v>
      </x:c>
      <x:c r="K575" s="2" t="n">
        <x:v>120</x:v>
      </x:c>
      <x:c r="L575" s="2" t="n">
        <x:f>G575*H575</x:f>
        <x:v>12600</x:v>
      </x:c>
      <x:c r="M575" s="2" t="n">
        <x:f>ROUND(L575*(1-I575),2)</x:f>
        <x:v>9450</x:v>
      </x:c>
      <x:c r="N575" s="2" t="n">
        <x:f>G575*J575</x:f>
        <x:v>9000</x:v>
      </x:c>
      <x:c r="O575" s="2" t="n">
        <x:f>M575-N575-K575</x:f>
        <x:v>330</x:v>
      </x:c>
      <x:c r="P575" s="1" t="str">
        <x:f>TEXT(B575,"yyyy-mm")</x:f>
        <x:v>2025-01</x:v>
      </x:c>
    </x:row>
    <x:row r="576">
      <x:c r="A576" s="1" t="str">
        <x:v>ORD-0572</x:v>
      </x:c>
      <x:c r="B576" s="4" t="d">
        <x:v>2025-03-18T00:00:00.000Z</x:v>
      </x:c>
      <x:c r="C576" s="1" t="str">
        <x:v>C-285</x:v>
      </x:c>
      <x:c r="D576" s="1" t="str">
        <x:v>South</x:v>
      </x:c>
      <x:c r="E576" s="1" t="str">
        <x:v>Fashion</x:v>
      </x:c>
      <x:c r="F576" s="1" t="str">
        <x:v>Backpack</x:v>
      </x:c>
      <x:c r="G576" s="1" t="n">
        <x:v>1</x:v>
      </x:c>
      <x:c r="H576" s="2" t="n">
        <x:v>1300</x:v>
      </x:c>
      <x:c r="I576" s="3" t="n">
        <x:v>0</x:v>
      </x:c>
      <x:c r="J576" s="2" t="n">
        <x:v>650</x:v>
      </x:c>
      <x:c r="K576" s="2" t="n">
        <x:v>50</x:v>
      </x:c>
      <x:c r="L576" s="2" t="n">
        <x:f>G576*H576</x:f>
        <x:v>1300</x:v>
      </x:c>
      <x:c r="M576" s="2" t="n">
        <x:f>ROUND(L576*(1-I576),2)</x:f>
        <x:v>1300</x:v>
      </x:c>
      <x:c r="N576" s="2" t="n">
        <x:f>G576*J576</x:f>
        <x:v>650</x:v>
      </x:c>
      <x:c r="O576" s="2" t="n">
        <x:f>M576-N576-K576</x:f>
        <x:v>600</x:v>
      </x:c>
      <x:c r="P576" s="1" t="str">
        <x:f>TEXT(B576,"yyyy-mm")</x:f>
        <x:v>2025-03</x:v>
      </x:c>
    </x:row>
    <x:row r="577">
      <x:c r="A577" s="1" t="str">
        <x:v>ORD-0573</x:v>
      </x:c>
      <x:c r="B577" s="4" t="d">
        <x:v>2025-01-18T00:00:00.000Z</x:v>
      </x:c>
      <x:c r="C577" s="1" t="str">
        <x:v>C-044</x:v>
      </x:c>
      <x:c r="D577" s="1" t="str">
        <x:v>East</x:v>
      </x:c>
      <x:c r="E577" s="1" t="str">
        <x:v>Home</x:v>
      </x:c>
      <x:c r="F577" s="1" t="str">
        <x:v>Office chair</x:v>
      </x:c>
      <x:c r="G577" s="1" t="n">
        <x:v>2</x:v>
      </x:c>
      <x:c r="H577" s="2" t="n">
        <x:v>5500</x:v>
      </x:c>
      <x:c r="I577" s="3" t="n">
        <x:v>0.25</x:v>
      </x:c>
      <x:c r="J577" s="2" t="n">
        <x:v>4400</x:v>
      </x:c>
      <x:c r="K577" s="2" t="n">
        <x:v>120</x:v>
      </x:c>
      <x:c r="L577" s="2" t="n">
        <x:f>G577*H577</x:f>
        <x:v>11000</x:v>
      </x:c>
      <x:c r="M577" s="2" t="n">
        <x:f>ROUND(L577*(1-I577),2)</x:f>
        <x:v>8250</x:v>
      </x:c>
      <x:c r="N577" s="2" t="n">
        <x:f>G577*J577</x:f>
        <x:v>8800</x:v>
      </x:c>
      <x:c r="O577" s="2" t="n">
        <x:f>M577-N577-K577</x:f>
        <x:v>-670</x:v>
      </x:c>
      <x:c r="P577" s="1" t="str">
        <x:f>TEXT(B577,"yyyy-mm")</x:f>
        <x:v>2025-01</x:v>
      </x:c>
    </x:row>
    <x:row r="578">
      <x:c r="A578" s="1" t="str">
        <x:v>ORD-0574</x:v>
      </x:c>
      <x:c r="B578" s="4" t="d">
        <x:v>2025-10-14T00:00:00.000Z</x:v>
      </x:c>
      <x:c r="C578" s="1" t="str">
        <x:v>C-263</x:v>
      </x:c>
      <x:c r="D578" s="1" t="str">
        <x:v>South</x:v>
      </x:c>
      <x:c r="E578" s="1" t="str">
        <x:v>Fashion</x:v>
      </x:c>
      <x:c r="F578" s="1" t="str">
        <x:v>Backpack</x:v>
      </x:c>
      <x:c r="G578" s="1" t="n">
        <x:v>2</x:v>
      </x:c>
      <x:c r="H578" s="2" t="n">
        <x:v>1300</x:v>
      </x:c>
      <x:c r="I578" s="3" t="n">
        <x:v>0.05</x:v>
      </x:c>
      <x:c r="J578" s="2" t="n">
        <x:v>650</x:v>
      </x:c>
      <x:c r="K578" s="2" t="n">
        <x:v>50</x:v>
      </x:c>
      <x:c r="L578" s="2" t="n">
        <x:f>G578*H578</x:f>
        <x:v>2600</x:v>
      </x:c>
      <x:c r="M578" s="2" t="n">
        <x:f>ROUND(L578*(1-I578),2)</x:f>
        <x:v>2470</x:v>
      </x:c>
      <x:c r="N578" s="2" t="n">
        <x:f>G578*J578</x:f>
        <x:v>1300</x:v>
      </x:c>
      <x:c r="O578" s="2" t="n">
        <x:f>M578-N578-K578</x:f>
        <x:v>1120</x:v>
      </x:c>
      <x:c r="P578" s="1" t="str">
        <x:f>TEXT(B578,"yyyy-mm")</x:f>
        <x:v>2025-10</x:v>
      </x:c>
    </x:row>
    <x:row r="579">
      <x:c r="A579" s="1" t="str">
        <x:v>ORD-0575</x:v>
      </x:c>
      <x:c r="B579" s="4" t="d">
        <x:v>2025-04-04T00:00:00.000Z</x:v>
      </x:c>
      <x:c r="C579" s="1" t="str">
        <x:v>C-093</x:v>
      </x:c>
      <x:c r="D579" s="1" t="str">
        <x:v>North</x:v>
      </x:c>
      <x:c r="E579" s="1" t="str">
        <x:v>Fashion</x:v>
      </x:c>
      <x:c r="F579" s="1" t="str">
        <x:v>Sneakers</x:v>
      </x:c>
      <x:c r="G579" s="1" t="n">
        <x:v>4</x:v>
      </x:c>
      <x:c r="H579" s="2" t="n">
        <x:v>2400</x:v>
      </x:c>
      <x:c r="I579" s="3" t="n">
        <x:v>0.05</x:v>
      </x:c>
      <x:c r="J579" s="2" t="n">
        <x:v>1200</x:v>
      </x:c>
      <x:c r="K579" s="2" t="n">
        <x:v>120</x:v>
      </x:c>
      <x:c r="L579" s="2" t="n">
        <x:f>G579*H579</x:f>
        <x:v>9600</x:v>
      </x:c>
      <x:c r="M579" s="2" t="n">
        <x:f>ROUND(L579*(1-I579),2)</x:f>
        <x:v>9120</x:v>
      </x:c>
      <x:c r="N579" s="2" t="n">
        <x:f>G579*J579</x:f>
        <x:v>4800</x:v>
      </x:c>
      <x:c r="O579" s="2" t="n">
        <x:f>M579-N579-K579</x:f>
        <x:v>4200</x:v>
      </x:c>
      <x:c r="P579" s="1" t="str">
        <x:f>TEXT(B579,"yyyy-mm")</x:f>
        <x:v>2025-04</x:v>
      </x:c>
    </x:row>
    <x:row r="580">
      <x:c r="A580" s="1" t="str">
        <x:v>ORD-0576</x:v>
      </x:c>
      <x:c r="B580" s="4" t="d">
        <x:v>2025-08-03T00:00:00.000Z</x:v>
      </x:c>
      <x:c r="C580" s="1" t="str">
        <x:v>C-129</x:v>
      </x:c>
      <x:c r="D580" s="1" t="str">
        <x:v>North</x:v>
      </x:c>
      <x:c r="E580" s="1" t="str">
        <x:v>Fashion</x:v>
      </x:c>
      <x:c r="F580" s="1" t="str">
        <x:v>Sneakers</x:v>
      </x:c>
      <x:c r="G580" s="1" t="n">
        <x:v>2</x:v>
      </x:c>
      <x:c r="H580" s="2" t="n">
        <x:v>2400</x:v>
      </x:c>
      <x:c r="I580" s="3" t="n">
        <x:v>0.35</x:v>
      </x:c>
      <x:c r="J580" s="2" t="n">
        <x:v>1200</x:v>
      </x:c>
      <x:c r="K580" s="2" t="n">
        <x:v>120</x:v>
      </x:c>
      <x:c r="L580" s="2" t="n">
        <x:f>G580*H580</x:f>
        <x:v>4800</x:v>
      </x:c>
      <x:c r="M580" s="2" t="n">
        <x:f>ROUND(L580*(1-I580),2)</x:f>
        <x:v>3120</x:v>
      </x:c>
      <x:c r="N580" s="2" t="n">
        <x:f>G580*J580</x:f>
        <x:v>2400</x:v>
      </x:c>
      <x:c r="O580" s="2" t="n">
        <x:f>M580-N580-K580</x:f>
        <x:v>600</x:v>
      </x:c>
      <x:c r="P580" s="1" t="str">
        <x:f>TEXT(B580,"yyyy-mm")</x:f>
        <x:v>2025-08</x:v>
      </x:c>
    </x:row>
    <x:row r="581">
      <x:c r="A581" s="1" t="str">
        <x:v>ORD-0577</x:v>
      </x:c>
      <x:c r="B581" s="4" t="d">
        <x:v>2025-09-05T00:00:00.000Z</x:v>
      </x:c>
      <x:c r="C581" s="1" t="str">
        <x:v>C-121</x:v>
      </x:c>
      <x:c r="D581" s="1" t="str">
        <x:v>North</x:v>
      </x:c>
      <x:c r="E581" s="1" t="str">
        <x:v>Fashion</x:v>
      </x:c>
      <x:c r="F581" s="1" t="str">
        <x:v>Backpack</x:v>
      </x:c>
      <x:c r="G581" s="1" t="n">
        <x:v>3</x:v>
      </x:c>
      <x:c r="H581" s="2" t="n">
        <x:v>1300</x:v>
      </x:c>
      <x:c r="I581" s="3" t="n">
        <x:v>0.1</x:v>
      </x:c>
      <x:c r="J581" s="2" t="n">
        <x:v>650</x:v>
      </x:c>
      <x:c r="K581" s="2" t="n">
        <x:v>120</x:v>
      </x:c>
      <x:c r="L581" s="2" t="n">
        <x:f>G581*H581</x:f>
        <x:v>3900</x:v>
      </x:c>
      <x:c r="M581" s="2" t="n">
        <x:f>ROUND(L581*(1-I581),2)</x:f>
        <x:v>3510</x:v>
      </x:c>
      <x:c r="N581" s="2" t="n">
        <x:f>G581*J581</x:f>
        <x:v>1950</x:v>
      </x:c>
      <x:c r="O581" s="2" t="n">
        <x:f>M581-N581-K581</x:f>
        <x:v>1440</x:v>
      </x:c>
      <x:c r="P581" s="1" t="str">
        <x:f>TEXT(B581,"yyyy-mm")</x:f>
        <x:v>2025-09</x:v>
      </x:c>
    </x:row>
    <x:row r="582">
      <x:c r="A582" s="1" t="str">
        <x:v>ORD-0578</x:v>
      </x:c>
      <x:c r="B582" s="4" t="d">
        <x:v>2025-02-16T00:00:00.000Z</x:v>
      </x:c>
      <x:c r="C582" s="1" t="str">
        <x:v>C-231</x:v>
      </x:c>
      <x:c r="D582" s="1" t="str">
        <x:v>East</x:v>
      </x:c>
      <x:c r="E582" s="1" t="str">
        <x:v>Fashion</x:v>
      </x:c>
      <x:c r="F582" s="1" t="str">
        <x:v>T-shirt</x:v>
      </x:c>
      <x:c r="G582" s="1" t="n">
        <x:v>3</x:v>
      </x:c>
      <x:c r="H582" s="2" t="n">
        <x:v>700</x:v>
      </x:c>
      <x:c r="I582" s="3" t="n">
        <x:v>0.1</x:v>
      </x:c>
      <x:c r="J582" s="2" t="n">
        <x:v>300</x:v>
      </x:c>
      <x:c r="K582" s="2" t="n">
        <x:v>120</x:v>
      </x:c>
      <x:c r="L582" s="2" t="n">
        <x:f>G582*H582</x:f>
        <x:v>2100</x:v>
      </x:c>
      <x:c r="M582" s="2" t="n">
        <x:f>ROUND(L582*(1-I582),2)</x:f>
        <x:v>1890</x:v>
      </x:c>
      <x:c r="N582" s="2" t="n">
        <x:f>G582*J582</x:f>
        <x:v>900</x:v>
      </x:c>
      <x:c r="O582" s="2" t="n">
        <x:f>M582-N582-K582</x:f>
        <x:v>870</x:v>
      </x:c>
      <x:c r="P582" s="1" t="str">
        <x:f>TEXT(B582,"yyyy-mm")</x:f>
        <x:v>2025-02</x:v>
      </x:c>
    </x:row>
    <x:row r="583">
      <x:c r="A583" s="1" t="str">
        <x:v>ORD-0579</x:v>
      </x:c>
      <x:c r="B583" s="4" t="d">
        <x:v>2025-09-14T00:00:00.000Z</x:v>
      </x:c>
      <x:c r="C583" s="1" t="str">
        <x:v>C-087</x:v>
      </x:c>
      <x:c r="D583" s="1" t="str">
        <x:v>North</x:v>
      </x:c>
      <x:c r="E583" s="1" t="str">
        <x:v>Fashion</x:v>
      </x:c>
      <x:c r="F583" s="1" t="str">
        <x:v>Backpack</x:v>
      </x:c>
      <x:c r="G583" s="1" t="n">
        <x:v>3</x:v>
      </x:c>
      <x:c r="H583" s="2" t="n">
        <x:v>1300</x:v>
      </x:c>
      <x:c r="I583" s="3" t="n">
        <x:v>0.1</x:v>
      </x:c>
      <x:c r="J583" s="2" t="n">
        <x:v>650</x:v>
      </x:c>
      <x:c r="K583" s="2" t="n">
        <x:v>50</x:v>
      </x:c>
      <x:c r="L583" s="2" t="n">
        <x:f>G583*H583</x:f>
        <x:v>3900</x:v>
      </x:c>
      <x:c r="M583" s="2" t="n">
        <x:f>ROUND(L583*(1-I583),2)</x:f>
        <x:v>3510</x:v>
      </x:c>
      <x:c r="N583" s="2" t="n">
        <x:f>G583*J583</x:f>
        <x:v>1950</x:v>
      </x:c>
      <x:c r="O583" s="2" t="n">
        <x:f>M583-N583-K583</x:f>
        <x:v>1510</x:v>
      </x:c>
      <x:c r="P583" s="1" t="str">
        <x:f>TEXT(B583,"yyyy-mm")</x:f>
        <x:v>2025-09</x:v>
      </x:c>
    </x:row>
    <x:row r="584">
      <x:c r="A584" s="1" t="str">
        <x:v>ORD-0580</x:v>
      </x:c>
      <x:c r="B584" s="4" t="d">
        <x:v>2025-11-27T00:00:00.000Z</x:v>
      </x:c>
      <x:c r="C584" s="1" t="str">
        <x:v>C-185</x:v>
      </x:c>
      <x:c r="D584" s="1" t="str">
        <x:v>South</x:v>
      </x:c>
      <x:c r="E584" s="1" t="str">
        <x:v>Home</x:v>
      </x:c>
      <x:c r="F584" s="1" t="str">
        <x:v>Office chair</x:v>
      </x:c>
      <x:c r="G584" s="1" t="n">
        <x:v>3</x:v>
      </x:c>
      <x:c r="H584" s="2" t="n">
        <x:v>5500</x:v>
      </x:c>
      <x:c r="I584" s="3" t="n">
        <x:v>0.1</x:v>
      </x:c>
      <x:c r="J584" s="2" t="n">
        <x:v>4400</x:v>
      </x:c>
      <x:c r="K584" s="2" t="n">
        <x:v>80</x:v>
      </x:c>
      <x:c r="L584" s="2" t="n">
        <x:f>G584*H584</x:f>
        <x:v>16500</x:v>
      </x:c>
      <x:c r="M584" s="2" t="n">
        <x:f>ROUND(L584*(1-I584),2)</x:f>
        <x:v>14850</x:v>
      </x:c>
      <x:c r="N584" s="2" t="n">
        <x:f>G584*J584</x:f>
        <x:v>13200</x:v>
      </x:c>
      <x:c r="O584" s="2" t="n">
        <x:f>M584-N584-K584</x:f>
        <x:v>1570</x:v>
      </x:c>
      <x:c r="P584" s="1" t="str">
        <x:f>TEXT(B584,"yyyy-mm")</x:f>
        <x:v>2025-11</x:v>
      </x:c>
    </x:row>
    <x:row r="585">
      <x:c r="A585" s="1" t="str">
        <x:v>ORD-0581</x:v>
      </x:c>
      <x:c r="B585" s="4" t="d">
        <x:v>2025-07-16T00:00:00.000Z</x:v>
      </x:c>
      <x:c r="C585" s="1" t="str">
        <x:v>C-283</x:v>
      </x:c>
      <x:c r="D585" s="1" t="str">
        <x:v>North</x:v>
      </x:c>
      <x:c r="E585" s="1" t="str">
        <x:v>Fashion</x:v>
      </x:c>
      <x:c r="F585" s="1" t="str">
        <x:v>Backpack</x:v>
      </x:c>
      <x:c r="G585" s="1" t="n">
        <x:v>2</x:v>
      </x:c>
      <x:c r="H585" s="2" t="n">
        <x:v>1300</x:v>
      </x:c>
      <x:c r="I585" s="3" t="n">
        <x:v>0.1</x:v>
      </x:c>
      <x:c r="J585" s="2" t="n">
        <x:v>650</x:v>
      </x:c>
      <x:c r="K585" s="2" t="n">
        <x:v>120</x:v>
      </x:c>
      <x:c r="L585" s="2" t="n">
        <x:f>G585*H585</x:f>
        <x:v>2600</x:v>
      </x:c>
      <x:c r="M585" s="2" t="n">
        <x:f>ROUND(L585*(1-I585),2)</x:f>
        <x:v>2340</x:v>
      </x:c>
      <x:c r="N585" s="2" t="n">
        <x:f>G585*J585</x:f>
        <x:v>1300</x:v>
      </x:c>
      <x:c r="O585" s="2" t="n">
        <x:f>M585-N585-K585</x:f>
        <x:v>920</x:v>
      </x:c>
      <x:c r="P585" s="1" t="str">
        <x:f>TEXT(B585,"yyyy-mm")</x:f>
        <x:v>2025-07</x:v>
      </x:c>
    </x:row>
    <x:row r="586">
      <x:c r="A586" s="1" t="str">
        <x:v>ORD-0582</x:v>
      </x:c>
      <x:c r="B586" s="4" t="d">
        <x:v>2025-09-29T00:00:00.000Z</x:v>
      </x:c>
      <x:c r="C586" s="1" t="str">
        <x:v>C-276</x:v>
      </x:c>
      <x:c r="D586" s="1" t="str">
        <x:v>South</x:v>
      </x:c>
      <x:c r="E586" s="1" t="str">
        <x:v>Fashion</x:v>
      </x:c>
      <x:c r="F586" s="1" t="str">
        <x:v>Sneakers</x:v>
      </x:c>
      <x:c r="G586" s="1" t="n">
        <x:v>3</x:v>
      </x:c>
      <x:c r="H586" s="2" t="n">
        <x:v>2400</x:v>
      </x:c>
      <x:c r="I586" s="3" t="n">
        <x:v>0.05</x:v>
      </x:c>
      <x:c r="J586" s="2" t="n">
        <x:v>1200</x:v>
      </x:c>
      <x:c r="K586" s="2" t="n">
        <x:v>120</x:v>
      </x:c>
      <x:c r="L586" s="2" t="n">
        <x:f>G586*H586</x:f>
        <x:v>7200</x:v>
      </x:c>
      <x:c r="M586" s="2" t="n">
        <x:f>ROUND(L586*(1-I586),2)</x:f>
        <x:v>6840</x:v>
      </x:c>
      <x:c r="N586" s="2" t="n">
        <x:f>G586*J586</x:f>
        <x:v>3600</x:v>
      </x:c>
      <x:c r="O586" s="2" t="n">
        <x:f>M586-N586-K586</x:f>
        <x:v>3120</x:v>
      </x:c>
      <x:c r="P586" s="1" t="str">
        <x:f>TEXT(B586,"yyyy-mm")</x:f>
        <x:v>2025-09</x:v>
      </x:c>
    </x:row>
    <x:row r="587">
      <x:c r="A587" s="1" t="str">
        <x:v>ORD-0583</x:v>
      </x:c>
      <x:c r="B587" s="4" t="d">
        <x:v>2025-11-03T00:00:00.000Z</x:v>
      </x:c>
      <x:c r="C587" s="1" t="str">
        <x:v>C-010</x:v>
      </x:c>
      <x:c r="D587" s="1" t="str">
        <x:v>North</x:v>
      </x:c>
      <x:c r="E587" s="1" t="str">
        <x:v>Electronics</x:v>
      </x:c>
      <x:c r="F587" s="1" t="str">
        <x:v>Keyboard</x:v>
      </x:c>
      <x:c r="G587" s="1" t="n">
        <x:v>4</x:v>
      </x:c>
      <x:c r="H587" s="2" t="n">
        <x:v>1500</x:v>
      </x:c>
      <x:c r="I587" s="3" t="n">
        <x:v>0.35</x:v>
      </x:c>
      <x:c r="J587" s="2" t="n">
        <x:v>900</x:v>
      </x:c>
      <x:c r="K587" s="2" t="n">
        <x:v>120</x:v>
      </x:c>
      <x:c r="L587" s="2" t="n">
        <x:f>G587*H587</x:f>
        <x:v>6000</x:v>
      </x:c>
      <x:c r="M587" s="2" t="n">
        <x:f>ROUND(L587*(1-I587),2)</x:f>
        <x:v>3900</x:v>
      </x:c>
      <x:c r="N587" s="2" t="n">
        <x:f>G587*J587</x:f>
        <x:v>3600</x:v>
      </x:c>
      <x:c r="O587" s="2" t="n">
        <x:f>M587-N587-K587</x:f>
        <x:v>180</x:v>
      </x:c>
      <x:c r="P587" s="1" t="str">
        <x:f>TEXT(B587,"yyyy-mm")</x:f>
        <x:v>2025-11</x:v>
      </x:c>
    </x:row>
    <x:row r="588">
      <x:c r="A588" s="1" t="str">
        <x:v>ORD-0584</x:v>
      </x:c>
      <x:c r="B588" s="4" t="d">
        <x:v>2025-04-09T00:00:00.000Z</x:v>
      </x:c>
      <x:c r="C588" s="1" t="str">
        <x:v>C-279</x:v>
      </x:c>
      <x:c r="D588" s="1" t="str">
        <x:v>West</x:v>
      </x:c>
      <x:c r="E588" s="1" t="str">
        <x:v>Electronics</x:v>
      </x:c>
      <x:c r="F588" s="1" t="str">
        <x:v>Headphones</x:v>
      </x:c>
      <x:c r="G588" s="1" t="n">
        <x:v>2</x:v>
      </x:c>
      <x:c r="H588" s="2" t="n">
        <x:v>2200</x:v>
      </x:c>
      <x:c r="I588" s="3" t="n">
        <x:v>0.25</x:v>
      </x:c>
      <x:c r="J588" s="2" t="n">
        <x:v>1450</x:v>
      </x:c>
      <x:c r="K588" s="2" t="n">
        <x:v>80</x:v>
      </x:c>
      <x:c r="L588" s="2" t="n">
        <x:f>G588*H588</x:f>
        <x:v>4400</x:v>
      </x:c>
      <x:c r="M588" s="2" t="n">
        <x:f>ROUND(L588*(1-I588),2)</x:f>
        <x:v>3300</x:v>
      </x:c>
      <x:c r="N588" s="2" t="n">
        <x:f>G588*J588</x:f>
        <x:v>2900</x:v>
      </x:c>
      <x:c r="O588" s="2" t="n">
        <x:f>M588-N588-K588</x:f>
        <x:v>320</x:v>
      </x:c>
      <x:c r="P588" s="1" t="str">
        <x:f>TEXT(B588,"yyyy-mm")</x:f>
        <x:v>2025-04</x:v>
      </x:c>
    </x:row>
    <x:row r="589">
      <x:c r="A589" s="1" t="str">
        <x:v>ORD-0585</x:v>
      </x:c>
      <x:c r="B589" s="4" t="d">
        <x:v>2025-06-15T00:00:00.000Z</x:v>
      </x:c>
      <x:c r="C589" s="1" t="str">
        <x:v>C-257</x:v>
      </x:c>
      <x:c r="D589" s="1" t="str">
        <x:v>North</x:v>
      </x:c>
      <x:c r="E589" s="1" t="str">
        <x:v>Fashion</x:v>
      </x:c>
      <x:c r="F589" s="1" t="str">
        <x:v>Sneakers</x:v>
      </x:c>
      <x:c r="G589" s="1" t="n">
        <x:v>4</x:v>
      </x:c>
      <x:c r="H589" s="2" t="n">
        <x:v>2400</x:v>
      </x:c>
      <x:c r="I589" s="3" t="n">
        <x:v>0.05</x:v>
      </x:c>
      <x:c r="J589" s="2" t="n">
        <x:v>1200</x:v>
      </x:c>
      <x:c r="K589" s="2" t="n">
        <x:v>80</x:v>
      </x:c>
      <x:c r="L589" s="2" t="n">
        <x:f>G589*H589</x:f>
        <x:v>9600</x:v>
      </x:c>
      <x:c r="M589" s="2" t="n">
        <x:f>ROUND(L589*(1-I589),2)</x:f>
        <x:v>9120</x:v>
      </x:c>
      <x:c r="N589" s="2" t="n">
        <x:f>G589*J589</x:f>
        <x:v>4800</x:v>
      </x:c>
      <x:c r="O589" s="2" t="n">
        <x:f>M589-N589-K589</x:f>
        <x:v>4240</x:v>
      </x:c>
      <x:c r="P589" s="1" t="str">
        <x:f>TEXT(B589,"yyyy-mm")</x:f>
        <x:v>2025-06</x:v>
      </x:c>
    </x:row>
    <x:row r="590">
      <x:c r="A590" s="1" t="str">
        <x:v>ORD-0586</x:v>
      </x:c>
      <x:c r="B590" s="4" t="d">
        <x:v>2025-08-22T00:00:00.000Z</x:v>
      </x:c>
      <x:c r="C590" s="1" t="str">
        <x:v>C-085</x:v>
      </x:c>
      <x:c r="D590" s="1" t="str">
        <x:v>South</x:v>
      </x:c>
      <x:c r="E590" s="1" t="str">
        <x:v>Fashion</x:v>
      </x:c>
      <x:c r="F590" s="1" t="str">
        <x:v>T-shirt</x:v>
      </x:c>
      <x:c r="G590" s="1" t="n">
        <x:v>4</x:v>
      </x:c>
      <x:c r="H590" s="2" t="n">
        <x:v>700</x:v>
      </x:c>
      <x:c r="I590" s="3" t="n">
        <x:v>0.25</x:v>
      </x:c>
      <x:c r="J590" s="2" t="n">
        <x:v>300</x:v>
      </x:c>
      <x:c r="K590" s="2" t="n">
        <x:v>50</x:v>
      </x:c>
      <x:c r="L590" s="2" t="n">
        <x:f>G590*H590</x:f>
        <x:v>2800</x:v>
      </x:c>
      <x:c r="M590" s="2" t="n">
        <x:f>ROUND(L590*(1-I590),2)</x:f>
        <x:v>2100</x:v>
      </x:c>
      <x:c r="N590" s="2" t="n">
        <x:f>G590*J590</x:f>
        <x:v>1200</x:v>
      </x:c>
      <x:c r="O590" s="2" t="n">
        <x:f>M590-N590-K590</x:f>
        <x:v>850</x:v>
      </x:c>
      <x:c r="P590" s="1" t="str">
        <x:f>TEXT(B590,"yyyy-mm")</x:f>
        <x:v>2025-08</x:v>
      </x:c>
    </x:row>
    <x:row r="591">
      <x:c r="A591" s="1" t="str">
        <x:v>ORD-0587</x:v>
      </x:c>
      <x:c r="B591" s="4" t="d">
        <x:v>2025-03-24T00:00:00.000Z</x:v>
      </x:c>
      <x:c r="C591" s="1" t="str">
        <x:v>C-248</x:v>
      </x:c>
      <x:c r="D591" s="1" t="str">
        <x:v>East</x:v>
      </x:c>
      <x:c r="E591" s="1" t="str">
        <x:v>Electronics</x:v>
      </x:c>
      <x:c r="F591" s="1" t="str">
        <x:v>Smartwatch</x:v>
      </x:c>
      <x:c r="G591" s="1" t="n">
        <x:v>1</x:v>
      </x:c>
      <x:c r="H591" s="2" t="n">
        <x:v>4200</x:v>
      </x:c>
      <x:c r="I591" s="3" t="n">
        <x:v>0.35</x:v>
      </x:c>
      <x:c r="J591" s="2" t="n">
        <x:v>3000</x:v>
      </x:c>
      <x:c r="K591" s="2" t="n">
        <x:v>50</x:v>
      </x:c>
      <x:c r="L591" s="2" t="n">
        <x:f>G591*H591</x:f>
        <x:v>4200</x:v>
      </x:c>
      <x:c r="M591" s="2" t="n">
        <x:f>ROUND(L591*(1-I591),2)</x:f>
        <x:v>2730</x:v>
      </x:c>
      <x:c r="N591" s="2" t="n">
        <x:f>G591*J591</x:f>
        <x:v>3000</x:v>
      </x:c>
      <x:c r="O591" s="2" t="n">
        <x:f>M591-N591-K591</x:f>
        <x:v>-320</x:v>
      </x:c>
      <x:c r="P591" s="1" t="str">
        <x:f>TEXT(B591,"yyyy-mm")</x:f>
        <x:v>2025-03</x:v>
      </x:c>
    </x:row>
    <x:row r="592">
      <x:c r="A592" s="1" t="str">
        <x:v>ORD-0588</x:v>
      </x:c>
      <x:c r="B592" s="4" t="d">
        <x:v>2025-10-09T00:00:00.000Z</x:v>
      </x:c>
      <x:c r="C592" s="1" t="str">
        <x:v>C-190</x:v>
      </x:c>
      <x:c r="D592" s="1" t="str">
        <x:v>South</x:v>
      </x:c>
      <x:c r="E592" s="1" t="str">
        <x:v>Fashion</x:v>
      </x:c>
      <x:c r="F592" s="1" t="str">
        <x:v>T-shirt</x:v>
      </x:c>
      <x:c r="G592" s="1" t="n">
        <x:v>1</x:v>
      </x:c>
      <x:c r="H592" s="2" t="n">
        <x:v>700</x:v>
      </x:c>
      <x:c r="I592" s="3" t="n">
        <x:v>0</x:v>
      </x:c>
      <x:c r="J592" s="2" t="n">
        <x:v>300</x:v>
      </x:c>
      <x:c r="K592" s="2" t="n">
        <x:v>120</x:v>
      </x:c>
      <x:c r="L592" s="2" t="n">
        <x:f>G592*H592</x:f>
        <x:v>700</x:v>
      </x:c>
      <x:c r="M592" s="2" t="n">
        <x:f>ROUND(L592*(1-I592),2)</x:f>
        <x:v>700</x:v>
      </x:c>
      <x:c r="N592" s="2" t="n">
        <x:f>G592*J592</x:f>
        <x:v>300</x:v>
      </x:c>
      <x:c r="O592" s="2" t="n">
        <x:f>M592-N592-K592</x:f>
        <x:v>280</x:v>
      </x:c>
      <x:c r="P592" s="1" t="str">
        <x:f>TEXT(B592,"yyyy-mm")</x:f>
        <x:v>2025-10</x:v>
      </x:c>
    </x:row>
    <x:row r="593">
      <x:c r="A593" s="1" t="str">
        <x:v>ORD-0589</x:v>
      </x:c>
      <x:c r="B593" s="4" t="d">
        <x:v>2025-04-16T00:00:00.000Z</x:v>
      </x:c>
      <x:c r="C593" s="1" t="str">
        <x:v>C-233</x:v>
      </x:c>
      <x:c r="D593" s="1" t="str">
        <x:v>North</x:v>
      </x:c>
      <x:c r="E593" s="1" t="str">
        <x:v>Fashion</x:v>
      </x:c>
      <x:c r="F593" s="1" t="str">
        <x:v>Backpack</x:v>
      </x:c>
      <x:c r="G593" s="1" t="n">
        <x:v>1</x:v>
      </x:c>
      <x:c r="H593" s="2" t="n">
        <x:v>1300</x:v>
      </x:c>
      <x:c r="I593" s="3" t="n">
        <x:v>0.15</x:v>
      </x:c>
      <x:c r="J593" s="2" t="n">
        <x:v>650</x:v>
      </x:c>
      <x:c r="K593" s="2" t="n">
        <x:v>120</x:v>
      </x:c>
      <x:c r="L593" s="2" t="n">
        <x:f>G593*H593</x:f>
        <x:v>1300</x:v>
      </x:c>
      <x:c r="M593" s="2" t="n">
        <x:f>ROUND(L593*(1-I593),2)</x:f>
        <x:v>1105</x:v>
      </x:c>
      <x:c r="N593" s="2" t="n">
        <x:f>G593*J593</x:f>
        <x:v>650</x:v>
      </x:c>
      <x:c r="O593" s="2" t="n">
        <x:f>M593-N593-K593</x:f>
        <x:v>335</x:v>
      </x:c>
      <x:c r="P593" s="1" t="str">
        <x:f>TEXT(B593,"yyyy-mm")</x:f>
        <x:v>2025-04</x:v>
      </x:c>
    </x:row>
    <x:row r="594">
      <x:c r="A594" s="1" t="str">
        <x:v>ORD-0590</x:v>
      </x:c>
      <x:c r="B594" s="4" t="d">
        <x:v>2025-05-27T00:00:00.000Z</x:v>
      </x:c>
      <x:c r="C594" s="1" t="str">
        <x:v>C-141</x:v>
      </x:c>
      <x:c r="D594" s="1" t="str">
        <x:v>East</x:v>
      </x:c>
      <x:c r="E594" s="1" t="str">
        <x:v>Home</x:v>
      </x:c>
      <x:c r="F594" s="1" t="str">
        <x:v>Storage box</x:v>
      </x:c>
      <x:c r="G594" s="1" t="n">
        <x:v>2</x:v>
      </x:c>
      <x:c r="H594" s="2" t="n">
        <x:v>800</x:v>
      </x:c>
      <x:c r="I594" s="3" t="n">
        <x:v>0.35</x:v>
      </x:c>
      <x:c r="J594" s="2" t="n">
        <x:v>420</x:v>
      </x:c>
      <x:c r="K594" s="2" t="n">
        <x:v>80</x:v>
      </x:c>
      <x:c r="L594" s="2" t="n">
        <x:f>G594*H594</x:f>
        <x:v>1600</x:v>
      </x:c>
      <x:c r="M594" s="2" t="n">
        <x:f>ROUND(L594*(1-I594),2)</x:f>
        <x:v>1040</x:v>
      </x:c>
      <x:c r="N594" s="2" t="n">
        <x:f>G594*J594</x:f>
        <x:v>840</x:v>
      </x:c>
      <x:c r="O594" s="2" t="n">
        <x:f>M594-N594-K594</x:f>
        <x:v>120</x:v>
      </x:c>
      <x:c r="P594" s="1" t="str">
        <x:f>TEXT(B594,"yyyy-mm")</x:f>
        <x:v>2025-05</x:v>
      </x:c>
    </x:row>
    <x:row r="595">
      <x:c r="A595" s="1" t="str">
        <x:v>ORD-0591</x:v>
      </x:c>
      <x:c r="B595" s="4" t="d">
        <x:v>2025-10-21T00:00:00.000Z</x:v>
      </x:c>
      <x:c r="C595" s="1" t="str">
        <x:v>C-040</x:v>
      </x:c>
      <x:c r="D595" s="1" t="str">
        <x:v>East</x:v>
      </x:c>
      <x:c r="E595" s="1" t="str">
        <x:v>Fashion</x:v>
      </x:c>
      <x:c r="F595" s="1" t="str">
        <x:v>Backpack</x:v>
      </x:c>
      <x:c r="G595" s="1" t="n">
        <x:v>4</x:v>
      </x:c>
      <x:c r="H595" s="2" t="n">
        <x:v>1300</x:v>
      </x:c>
      <x:c r="I595" s="3" t="n">
        <x:v>0.25</x:v>
      </x:c>
      <x:c r="J595" s="2" t="n">
        <x:v>650</x:v>
      </x:c>
      <x:c r="K595" s="2" t="n">
        <x:v>50</x:v>
      </x:c>
      <x:c r="L595" s="2" t="n">
        <x:f>G595*H595</x:f>
        <x:v>5200</x:v>
      </x:c>
      <x:c r="M595" s="2" t="n">
        <x:f>ROUND(L595*(1-I595),2)</x:f>
        <x:v>3900</x:v>
      </x:c>
      <x:c r="N595" s="2" t="n">
        <x:f>G595*J595</x:f>
        <x:v>2600</x:v>
      </x:c>
      <x:c r="O595" s="2" t="n">
        <x:f>M595-N595-K595</x:f>
        <x:v>1250</x:v>
      </x:c>
      <x:c r="P595" s="1" t="str">
        <x:f>TEXT(B595,"yyyy-mm")</x:f>
        <x:v>2025-10</x:v>
      </x:c>
    </x:row>
    <x:row r="596">
      <x:c r="A596" s="1" t="str">
        <x:v>ORD-0592</x:v>
      </x:c>
      <x:c r="B596" s="4" t="d">
        <x:v>2025-08-16T00:00:00.000Z</x:v>
      </x:c>
      <x:c r="C596" s="1" t="str">
        <x:v>C-247</x:v>
      </x:c>
      <x:c r="D596" s="1" t="str">
        <x:v>North</x:v>
      </x:c>
      <x:c r="E596" s="1" t="str">
        <x:v>Fashion</x:v>
      </x:c>
      <x:c r="F596" s="1" t="str">
        <x:v>Backpack</x:v>
      </x:c>
      <x:c r="G596" s="1" t="n">
        <x:v>2</x:v>
      </x:c>
      <x:c r="H596" s="2" t="n">
        <x:v>1300</x:v>
      </x:c>
      <x:c r="I596" s="3" t="n">
        <x:v>0.1</x:v>
      </x:c>
      <x:c r="J596" s="2" t="n">
        <x:v>650</x:v>
      </x:c>
      <x:c r="K596" s="2" t="n">
        <x:v>80</x:v>
      </x:c>
      <x:c r="L596" s="2" t="n">
        <x:f>G596*H596</x:f>
        <x:v>2600</x:v>
      </x:c>
      <x:c r="M596" s="2" t="n">
        <x:f>ROUND(L596*(1-I596),2)</x:f>
        <x:v>2340</x:v>
      </x:c>
      <x:c r="N596" s="2" t="n">
        <x:f>G596*J596</x:f>
        <x:v>1300</x:v>
      </x:c>
      <x:c r="O596" s="2" t="n">
        <x:f>M596-N596-K596</x:f>
        <x:v>960</x:v>
      </x:c>
      <x:c r="P596" s="1" t="str">
        <x:f>TEXT(B596,"yyyy-mm")</x:f>
        <x:v>2025-08</x:v>
      </x:c>
    </x:row>
    <x:row r="597">
      <x:c r="A597" s="1" t="str">
        <x:v>ORD-0593</x:v>
      </x:c>
      <x:c r="B597" s="4" t="d">
        <x:v>2025-03-21T00:00:00.000Z</x:v>
      </x:c>
      <x:c r="C597" s="1" t="str">
        <x:v>C-144</x:v>
      </x:c>
      <x:c r="D597" s="1" t="str">
        <x:v>South</x:v>
      </x:c>
      <x:c r="E597" s="1" t="str">
        <x:v>Electronics</x:v>
      </x:c>
      <x:c r="F597" s="1" t="str">
        <x:v>Keyboard</x:v>
      </x:c>
      <x:c r="G597" s="1" t="n">
        <x:v>2</x:v>
      </x:c>
      <x:c r="H597" s="2" t="n">
        <x:v>1500</x:v>
      </x:c>
      <x:c r="I597" s="3" t="n">
        <x:v>0.25</x:v>
      </x:c>
      <x:c r="J597" s="2" t="n">
        <x:v>900</x:v>
      </x:c>
      <x:c r="K597" s="2" t="n">
        <x:v>50</x:v>
      </x:c>
      <x:c r="L597" s="2" t="n">
        <x:f>G597*H597</x:f>
        <x:v>3000</x:v>
      </x:c>
      <x:c r="M597" s="2" t="n">
        <x:f>ROUND(L597*(1-I597),2)</x:f>
        <x:v>2250</x:v>
      </x:c>
      <x:c r="N597" s="2" t="n">
        <x:f>G597*J597</x:f>
        <x:v>1800</x:v>
      </x:c>
      <x:c r="O597" s="2" t="n">
        <x:f>M597-N597-K597</x:f>
        <x:v>400</x:v>
      </x:c>
      <x:c r="P597" s="1" t="str">
        <x:f>TEXT(B597,"yyyy-mm")</x:f>
        <x:v>2025-03</x:v>
      </x:c>
    </x:row>
    <x:row r="598">
      <x:c r="A598" s="1" t="str">
        <x:v>ORD-0594</x:v>
      </x:c>
      <x:c r="B598" s="4" t="d">
        <x:v>2025-03-08T00:00:00.000Z</x:v>
      </x:c>
      <x:c r="C598" s="1" t="str">
        <x:v>C-213</x:v>
      </x:c>
      <x:c r="D598" s="1" t="str">
        <x:v>East</x:v>
      </x:c>
      <x:c r="E598" s="1" t="str">
        <x:v>Electronics</x:v>
      </x:c>
      <x:c r="F598" s="1" t="str">
        <x:v>Keyboard</x:v>
      </x:c>
      <x:c r="G598" s="1" t="n">
        <x:v>1</x:v>
      </x:c>
      <x:c r="H598" s="2" t="n">
        <x:v>1500</x:v>
      </x:c>
      <x:c r="I598" s="3" t="n">
        <x:v>0.35</x:v>
      </x:c>
      <x:c r="J598" s="2" t="n">
        <x:v>900</x:v>
      </x:c>
      <x:c r="K598" s="2" t="n">
        <x:v>80</x:v>
      </x:c>
      <x:c r="L598" s="2" t="n">
        <x:f>G598*H598</x:f>
        <x:v>1500</x:v>
      </x:c>
      <x:c r="M598" s="2" t="n">
        <x:f>ROUND(L598*(1-I598),2)</x:f>
        <x:v>975</x:v>
      </x:c>
      <x:c r="N598" s="2" t="n">
        <x:f>G598*J598</x:f>
        <x:v>900</x:v>
      </x:c>
      <x:c r="O598" s="2" t="n">
        <x:f>M598-N598-K598</x:f>
        <x:v>-5</x:v>
      </x:c>
      <x:c r="P598" s="1" t="str">
        <x:f>TEXT(B598,"yyyy-mm")</x:f>
        <x:v>2025-03</x:v>
      </x:c>
    </x:row>
    <x:row r="599">
      <x:c r="A599" s="1" t="str">
        <x:v>ORD-0595</x:v>
      </x:c>
      <x:c r="B599" s="4" t="d">
        <x:v>2025-10-19T00:00:00.000Z</x:v>
      </x:c>
      <x:c r="C599" s="1" t="str">
        <x:v>C-083</x:v>
      </x:c>
      <x:c r="D599" s="1" t="str">
        <x:v>West</x:v>
      </x:c>
      <x:c r="E599" s="1" t="str">
        <x:v>Home</x:v>
      </x:c>
      <x:c r="F599" s="1" t="str">
        <x:v>Desk lamp</x:v>
      </x:c>
      <x:c r="G599" s="1" t="n">
        <x:v>1</x:v>
      </x:c>
      <x:c r="H599" s="2" t="n">
        <x:v>1100</x:v>
      </x:c>
      <x:c r="I599" s="3" t="n">
        <x:v>0.05</x:v>
      </x:c>
      <x:c r="J599" s="2" t="n">
        <x:v>650</x:v>
      </x:c>
      <x:c r="K599" s="2" t="n">
        <x:v>50</x:v>
      </x:c>
      <x:c r="L599" s="2" t="n">
        <x:f>G599*H599</x:f>
        <x:v>1100</x:v>
      </x:c>
      <x:c r="M599" s="2" t="n">
        <x:f>ROUND(L599*(1-I599),2)</x:f>
        <x:v>1045</x:v>
      </x:c>
      <x:c r="N599" s="2" t="n">
        <x:f>G599*J599</x:f>
        <x:v>650</x:v>
      </x:c>
      <x:c r="O599" s="2" t="n">
        <x:f>M599-N599-K599</x:f>
        <x:v>345</x:v>
      </x:c>
      <x:c r="P599" s="1" t="str">
        <x:f>TEXT(B599,"yyyy-mm")</x:f>
        <x:v>2025-10</x:v>
      </x:c>
    </x:row>
    <x:row r="600">
      <x:c r="A600" s="1" t="str">
        <x:v>ORD-0596</x:v>
      </x:c>
      <x:c r="B600" s="4" t="d">
        <x:v>2025-01-21T00:00:00.000Z</x:v>
      </x:c>
      <x:c r="C600" s="1" t="str">
        <x:v>C-263</x:v>
      </x:c>
      <x:c r="D600" s="1" t="str">
        <x:v>North</x:v>
      </x:c>
      <x:c r="E600" s="1" t="str">
        <x:v>Electronics</x:v>
      </x:c>
      <x:c r="F600" s="1" t="str">
        <x:v>Smartwatch</x:v>
      </x:c>
      <x:c r="G600" s="1" t="n">
        <x:v>2</x:v>
      </x:c>
      <x:c r="H600" s="2" t="n">
        <x:v>4200</x:v>
      </x:c>
      <x:c r="I600" s="3" t="n">
        <x:v>0.05</x:v>
      </x:c>
      <x:c r="J600" s="2" t="n">
        <x:v>3000</x:v>
      </x:c>
      <x:c r="K600" s="2" t="n">
        <x:v>50</x:v>
      </x:c>
      <x:c r="L600" s="2" t="n">
        <x:f>G600*H600</x:f>
        <x:v>8400</x:v>
      </x:c>
      <x:c r="M600" s="2" t="n">
        <x:f>ROUND(L600*(1-I600),2)</x:f>
        <x:v>7980</x:v>
      </x:c>
      <x:c r="N600" s="2" t="n">
        <x:f>G600*J600</x:f>
        <x:v>6000</x:v>
      </x:c>
      <x:c r="O600" s="2" t="n">
        <x:f>M600-N600-K600</x:f>
        <x:v>1930</x:v>
      </x:c>
      <x:c r="P600" s="1" t="str">
        <x:f>TEXT(B600,"yyyy-mm")</x:f>
        <x:v>2025-01</x:v>
      </x:c>
    </x:row>
    <x:row r="601">
      <x:c r="A601" s="1" t="str">
        <x:v>ORD-0597</x:v>
      </x:c>
      <x:c r="B601" s="4" t="d">
        <x:v>2025-03-31T00:00:00.000Z</x:v>
      </x:c>
      <x:c r="C601" s="1" t="str">
        <x:v>C-208</x:v>
      </x:c>
      <x:c r="D601" s="1" t="str">
        <x:v>North</x:v>
      </x:c>
      <x:c r="E601" s="1" t="str">
        <x:v>Electronics</x:v>
      </x:c>
      <x:c r="F601" s="1" t="str">
        <x:v>Smartwatch</x:v>
      </x:c>
      <x:c r="G601" s="1" t="n">
        <x:v>3</x:v>
      </x:c>
      <x:c r="H601" s="2" t="n">
        <x:v>4200</x:v>
      </x:c>
      <x:c r="I601" s="3" t="n">
        <x:v>0.25</x:v>
      </x:c>
      <x:c r="J601" s="2" t="n">
        <x:v>3000</x:v>
      </x:c>
      <x:c r="K601" s="2" t="n">
        <x:v>50</x:v>
      </x:c>
      <x:c r="L601" s="2" t="n">
        <x:f>G601*H601</x:f>
        <x:v>12600</x:v>
      </x:c>
      <x:c r="M601" s="2" t="n">
        <x:f>ROUND(L601*(1-I601),2)</x:f>
        <x:v>9450</x:v>
      </x:c>
      <x:c r="N601" s="2" t="n">
        <x:f>G601*J601</x:f>
        <x:v>9000</x:v>
      </x:c>
      <x:c r="O601" s="2" t="n">
        <x:f>M601-N601-K601</x:f>
        <x:v>400</x:v>
      </x:c>
      <x:c r="P601" s="1" t="str">
        <x:f>TEXT(B601,"yyyy-mm")</x:f>
        <x:v>2025-03</x:v>
      </x:c>
    </x:row>
    <x:row r="602">
      <x:c r="A602" s="1" t="str">
        <x:v>ORD-0598</x:v>
      </x:c>
      <x:c r="B602" s="4" t="d">
        <x:v>2025-04-06T00:00:00.000Z</x:v>
      </x:c>
      <x:c r="C602" s="1" t="str">
        <x:v>C-113</x:v>
      </x:c>
      <x:c r="D602" s="1" t="str">
        <x:v>West</x:v>
      </x:c>
      <x:c r="E602" s="1" t="str">
        <x:v>Home</x:v>
      </x:c>
      <x:c r="F602" s="1" t="str">
        <x:v>Desk lamp</x:v>
      </x:c>
      <x:c r="G602" s="1" t="n">
        <x:v>2</x:v>
      </x:c>
      <x:c r="H602" s="2" t="n">
        <x:v>1100</x:v>
      </x:c>
      <x:c r="I602" s="3" t="n">
        <x:v>0.15</x:v>
      </x:c>
      <x:c r="J602" s="2" t="n">
        <x:v>650</x:v>
      </x:c>
      <x:c r="K602" s="2" t="n">
        <x:v>120</x:v>
      </x:c>
      <x:c r="L602" s="2" t="n">
        <x:f>G602*H602</x:f>
        <x:v>2200</x:v>
      </x:c>
      <x:c r="M602" s="2" t="n">
        <x:f>ROUND(L602*(1-I602),2)</x:f>
        <x:v>1870</x:v>
      </x:c>
      <x:c r="N602" s="2" t="n">
        <x:f>G602*J602</x:f>
        <x:v>1300</x:v>
      </x:c>
      <x:c r="O602" s="2" t="n">
        <x:f>M602-N602-K602</x:f>
        <x:v>450</x:v>
      </x:c>
      <x:c r="P602" s="1" t="str">
        <x:f>TEXT(B602,"yyyy-mm")</x:f>
        <x:v>2025-04</x:v>
      </x:c>
    </x:row>
    <x:row r="603">
      <x:c r="A603" s="1" t="str">
        <x:v>ORD-0599</x:v>
      </x:c>
      <x:c r="B603" s="4" t="d">
        <x:v>2025-11-22T00:00:00.000Z</x:v>
      </x:c>
      <x:c r="C603" s="1" t="str">
        <x:v>C-262</x:v>
      </x:c>
      <x:c r="D603" s="1" t="str">
        <x:v>East</x:v>
      </x:c>
      <x:c r="E603" s="1" t="str">
        <x:v>Electronics</x:v>
      </x:c>
      <x:c r="F603" s="1" t="str">
        <x:v>Smartwatch</x:v>
      </x:c>
      <x:c r="G603" s="1" t="n">
        <x:v>2</x:v>
      </x:c>
      <x:c r="H603" s="2" t="n">
        <x:v>4200</x:v>
      </x:c>
      <x:c r="I603" s="3" t="n">
        <x:v>0.25</x:v>
      </x:c>
      <x:c r="J603" s="2" t="n">
        <x:v>3000</x:v>
      </x:c>
      <x:c r="K603" s="2" t="n">
        <x:v>120</x:v>
      </x:c>
      <x:c r="L603" s="2" t="n">
        <x:f>G603*H603</x:f>
        <x:v>8400</x:v>
      </x:c>
      <x:c r="M603" s="2" t="n">
        <x:f>ROUND(L603*(1-I603),2)</x:f>
        <x:v>6300</x:v>
      </x:c>
      <x:c r="N603" s="2" t="n">
        <x:f>G603*J603</x:f>
        <x:v>6000</x:v>
      </x:c>
      <x:c r="O603" s="2" t="n">
        <x:f>M603-N603-K603</x:f>
        <x:v>180</x:v>
      </x:c>
      <x:c r="P603" s="1" t="str">
        <x:f>TEXT(B603,"yyyy-mm")</x:f>
        <x:v>2025-11</x:v>
      </x:c>
    </x:row>
    <x:row r="604">
      <x:c r="A604" s="1" t="str">
        <x:v>ORD-0600</x:v>
      </x:c>
      <x:c r="B604" s="4" t="d">
        <x:v>2025-10-19T00:00:00.000Z</x:v>
      </x:c>
      <x:c r="C604" s="1" t="str">
        <x:v>C-036</x:v>
      </x:c>
      <x:c r="D604" s="1" t="str">
        <x:v>South</x:v>
      </x:c>
      <x:c r="E604" s="1" t="str">
        <x:v>Home</x:v>
      </x:c>
      <x:c r="F604" s="1" t="str">
        <x:v>Desk lamp</x:v>
      </x:c>
      <x:c r="G604" s="1" t="n">
        <x:v>4</x:v>
      </x:c>
      <x:c r="H604" s="2" t="n">
        <x:v>1100</x:v>
      </x:c>
      <x:c r="I604" s="3" t="n">
        <x:v>0.25</x:v>
      </x:c>
      <x:c r="J604" s="2" t="n">
        <x:v>650</x:v>
      </x:c>
      <x:c r="K604" s="2" t="n">
        <x:v>80</x:v>
      </x:c>
      <x:c r="L604" s="2" t="n">
        <x:f>G604*H604</x:f>
        <x:v>4400</x:v>
      </x:c>
      <x:c r="M604" s="2" t="n">
        <x:f>ROUND(L604*(1-I604),2)</x:f>
        <x:v>3300</x:v>
      </x:c>
      <x:c r="N604" s="2" t="n">
        <x:f>G604*J604</x:f>
        <x:v>2600</x:v>
      </x:c>
      <x:c r="O604" s="2" t="n">
        <x:f>M604-N604-K604</x:f>
        <x:v>620</x:v>
      </x:c>
      <x:c r="P604" s="1" t="str">
        <x:f>TEXT(B604,"yyyy-mm")</x:f>
        <x:v>2025-10</x:v>
      </x:c>
    </x:row>
    <x:row r="605">
      <x:c r="A605" s="1" t="str">
        <x:v>ORD-0601</x:v>
      </x:c>
      <x:c r="B605" s="4" t="d">
        <x:v>2025-03-17T00:00:00.000Z</x:v>
      </x:c>
      <x:c r="C605" s="1" t="str">
        <x:v>C-259</x:v>
      </x:c>
      <x:c r="D605" s="1" t="str">
        <x:v>West</x:v>
      </x:c>
      <x:c r="E605" s="1" t="str">
        <x:v>Electronics</x:v>
      </x:c>
      <x:c r="F605" s="1" t="str">
        <x:v>Headphones</x:v>
      </x:c>
      <x:c r="G605" s="1" t="n">
        <x:v>2</x:v>
      </x:c>
      <x:c r="H605" s="2" t="n">
        <x:v>2200</x:v>
      </x:c>
      <x:c r="I605" s="3" t="n">
        <x:v>0.05</x:v>
      </x:c>
      <x:c r="J605" s="2" t="n">
        <x:v>1450</x:v>
      </x:c>
      <x:c r="K605" s="2" t="n">
        <x:v>120</x:v>
      </x:c>
      <x:c r="L605" s="2" t="n">
        <x:f>G605*H605</x:f>
        <x:v>4400</x:v>
      </x:c>
      <x:c r="M605" s="2" t="n">
        <x:f>ROUND(L605*(1-I605),2)</x:f>
        <x:v>4180</x:v>
      </x:c>
      <x:c r="N605" s="2" t="n">
        <x:f>G605*J605</x:f>
        <x:v>2900</x:v>
      </x:c>
      <x:c r="O605" s="2" t="n">
        <x:f>M605-N605-K605</x:f>
        <x:v>1160</x:v>
      </x:c>
      <x:c r="P605" s="1" t="str">
        <x:f>TEXT(B605,"yyyy-mm")</x:f>
        <x:v>2025-03</x:v>
      </x:c>
    </x:row>
    <x:row r="606">
      <x:c r="A606" s="1" t="str">
        <x:v>ORD-0602</x:v>
      </x:c>
      <x:c r="B606" s="4" t="d">
        <x:v>2025-02-20T00:00:00.000Z</x:v>
      </x:c>
      <x:c r="C606" s="1" t="str">
        <x:v>C-020</x:v>
      </x:c>
      <x:c r="D606" s="1" t="str">
        <x:v>North</x:v>
      </x:c>
      <x:c r="E606" s="1" t="str">
        <x:v>Home</x:v>
      </x:c>
      <x:c r="F606" s="1" t="str">
        <x:v>Desk lamp</x:v>
      </x:c>
      <x:c r="G606" s="1" t="n">
        <x:v>1</x:v>
      </x:c>
      <x:c r="H606" s="2" t="n">
        <x:v>1100</x:v>
      </x:c>
      <x:c r="I606" s="3" t="n">
        <x:v>0.25</x:v>
      </x:c>
      <x:c r="J606" s="2" t="n">
        <x:v>650</x:v>
      </x:c>
      <x:c r="K606" s="2" t="n">
        <x:v>80</x:v>
      </x:c>
      <x:c r="L606" s="2" t="n">
        <x:f>G606*H606</x:f>
        <x:v>1100</x:v>
      </x:c>
      <x:c r="M606" s="2" t="n">
        <x:f>ROUND(L606*(1-I606),2)</x:f>
        <x:v>825</x:v>
      </x:c>
      <x:c r="N606" s="2" t="n">
        <x:f>G606*J606</x:f>
        <x:v>650</x:v>
      </x:c>
      <x:c r="O606" s="2" t="n">
        <x:f>M606-N606-K606</x:f>
        <x:v>95</x:v>
      </x:c>
      <x:c r="P606" s="1" t="str">
        <x:f>TEXT(B606,"yyyy-mm")</x:f>
        <x:v>2025-02</x:v>
      </x:c>
    </x:row>
    <x:row r="607">
      <x:c r="A607" s="1" t="str">
        <x:v>ORD-0603</x:v>
      </x:c>
      <x:c r="B607" s="4" t="d">
        <x:v>2025-10-29T00:00:00.000Z</x:v>
      </x:c>
      <x:c r="C607" s="1" t="str">
        <x:v>C-221</x:v>
      </x:c>
      <x:c r="D607" s="1" t="str">
        <x:v>West</x:v>
      </x:c>
      <x:c r="E607" s="1" t="str">
        <x:v>Home</x:v>
      </x:c>
      <x:c r="F607" s="1" t="str">
        <x:v>Storage box</x:v>
      </x:c>
      <x:c r="G607" s="1" t="n">
        <x:v>3</x:v>
      </x:c>
      <x:c r="H607" s="2" t="n">
        <x:v>800</x:v>
      </x:c>
      <x:c r="I607" s="3" t="n">
        <x:v>0</x:v>
      </x:c>
      <x:c r="J607" s="2" t="n">
        <x:v>420</x:v>
      </x:c>
      <x:c r="K607" s="2" t="n">
        <x:v>50</x:v>
      </x:c>
      <x:c r="L607" s="2" t="n">
        <x:f>G607*H607</x:f>
        <x:v>2400</x:v>
      </x:c>
      <x:c r="M607" s="2" t="n">
        <x:f>ROUND(L607*(1-I607),2)</x:f>
        <x:v>2400</x:v>
      </x:c>
      <x:c r="N607" s="2" t="n">
        <x:f>G607*J607</x:f>
        <x:v>1260</x:v>
      </x:c>
      <x:c r="O607" s="2" t="n">
        <x:f>M607-N607-K607</x:f>
        <x:v>1090</x:v>
      </x:c>
      <x:c r="P607" s="1" t="str">
        <x:f>TEXT(B607,"yyyy-mm")</x:f>
        <x:v>2025-10</x:v>
      </x:c>
    </x:row>
    <x:row r="608">
      <x:c r="A608" s="1" t="str">
        <x:v>ORD-0604</x:v>
      </x:c>
      <x:c r="B608" s="4" t="d">
        <x:v>2025-10-31T00:00:00.000Z</x:v>
      </x:c>
      <x:c r="C608" s="1" t="str">
        <x:v>C-247</x:v>
      </x:c>
      <x:c r="D608" s="1" t="str">
        <x:v>West</x:v>
      </x:c>
      <x:c r="E608" s="1" t="str">
        <x:v>Home</x:v>
      </x:c>
      <x:c r="F608" s="1" t="str">
        <x:v>Office chair</x:v>
      </x:c>
      <x:c r="G608" s="1" t="n">
        <x:v>3</x:v>
      </x:c>
      <x:c r="H608" s="2" t="n">
        <x:v>5500</x:v>
      </x:c>
      <x:c r="I608" s="3" t="n">
        <x:v>0.05</x:v>
      </x:c>
      <x:c r="J608" s="2" t="n">
        <x:v>4400</x:v>
      </x:c>
      <x:c r="K608" s="2" t="n">
        <x:v>120</x:v>
      </x:c>
      <x:c r="L608" s="2" t="n">
        <x:f>G608*H608</x:f>
        <x:v>16500</x:v>
      </x:c>
      <x:c r="M608" s="2" t="n">
        <x:f>ROUND(L608*(1-I608),2)</x:f>
        <x:v>15675</x:v>
      </x:c>
      <x:c r="N608" s="2" t="n">
        <x:f>G608*J608</x:f>
        <x:v>13200</x:v>
      </x:c>
      <x:c r="O608" s="2" t="n">
        <x:f>M608-N608-K608</x:f>
        <x:v>2355</x:v>
      </x:c>
      <x:c r="P608" s="1" t="str">
        <x:f>TEXT(B608,"yyyy-mm")</x:f>
        <x:v>2025-10</x:v>
      </x:c>
    </x:row>
    <x:row r="609">
      <x:c r="A609" s="1" t="str">
        <x:v>ORD-0605</x:v>
      </x:c>
      <x:c r="B609" s="4" t="d">
        <x:v>2025-11-05T00:00:00.000Z</x:v>
      </x:c>
      <x:c r="C609" s="1" t="str">
        <x:v>C-131</x:v>
      </x:c>
      <x:c r="D609" s="1" t="str">
        <x:v>West</x:v>
      </x:c>
      <x:c r="E609" s="1" t="str">
        <x:v>Electronics</x:v>
      </x:c>
      <x:c r="F609" s="1" t="str">
        <x:v>Keyboard</x:v>
      </x:c>
      <x:c r="G609" s="1" t="n">
        <x:v>2</x:v>
      </x:c>
      <x:c r="H609" s="2" t="n">
        <x:v>1500</x:v>
      </x:c>
      <x:c r="I609" s="3" t="n">
        <x:v>0.15</x:v>
      </x:c>
      <x:c r="J609" s="2" t="n">
        <x:v>900</x:v>
      </x:c>
      <x:c r="K609" s="2" t="n">
        <x:v>50</x:v>
      </x:c>
      <x:c r="L609" s="2" t="n">
        <x:f>G609*H609</x:f>
        <x:v>3000</x:v>
      </x:c>
      <x:c r="M609" s="2" t="n">
        <x:f>ROUND(L609*(1-I609),2)</x:f>
        <x:v>2550</x:v>
      </x:c>
      <x:c r="N609" s="2" t="n">
        <x:f>G609*J609</x:f>
        <x:v>1800</x:v>
      </x:c>
      <x:c r="O609" s="2" t="n">
        <x:f>M609-N609-K609</x:f>
        <x:v>700</x:v>
      </x:c>
      <x:c r="P609" s="1" t="str">
        <x:f>TEXT(B609,"yyyy-mm")</x:f>
        <x:v>2025-11</x:v>
      </x:c>
    </x:row>
    <x:row r="610">
      <x:c r="A610" s="1" t="str">
        <x:v>ORD-0606</x:v>
      </x:c>
      <x:c r="B610" s="4" t="d">
        <x:v>2025-05-09T00:00:00.000Z</x:v>
      </x:c>
      <x:c r="C610" s="1" t="str">
        <x:v>C-097</x:v>
      </x:c>
      <x:c r="D610" s="1" t="str">
        <x:v>North</x:v>
      </x:c>
      <x:c r="E610" s="1" t="str">
        <x:v>Home</x:v>
      </x:c>
      <x:c r="F610" s="1" t="str">
        <x:v>Storage box</x:v>
      </x:c>
      <x:c r="G610" s="1" t="n">
        <x:v>1</x:v>
      </x:c>
      <x:c r="H610" s="2" t="n">
        <x:v>800</x:v>
      </x:c>
      <x:c r="I610" s="3" t="n">
        <x:v>0.15</x:v>
      </x:c>
      <x:c r="J610" s="2" t="n">
        <x:v>420</x:v>
      </x:c>
      <x:c r="K610" s="2" t="n">
        <x:v>120</x:v>
      </x:c>
      <x:c r="L610" s="2" t="n">
        <x:f>G610*H610</x:f>
        <x:v>800</x:v>
      </x:c>
      <x:c r="M610" s="2" t="n">
        <x:f>ROUND(L610*(1-I610),2)</x:f>
        <x:v>680</x:v>
      </x:c>
      <x:c r="N610" s="2" t="n">
        <x:f>G610*J610</x:f>
        <x:v>420</x:v>
      </x:c>
      <x:c r="O610" s="2" t="n">
        <x:f>M610-N610-K610</x:f>
        <x:v>140</x:v>
      </x:c>
      <x:c r="P610" s="1" t="str">
        <x:f>TEXT(B610,"yyyy-mm")</x:f>
        <x:v>2025-05</x:v>
      </x:c>
    </x:row>
    <x:row r="611">
      <x:c r="A611" s="1" t="str">
        <x:v>ORD-0607</x:v>
      </x:c>
      <x:c r="B611" s="4" t="d">
        <x:v>2025-08-13T00:00:00.000Z</x:v>
      </x:c>
      <x:c r="C611" s="1" t="str">
        <x:v>C-106</x:v>
      </x:c>
      <x:c r="D611" s="1" t="str">
        <x:v>East</x:v>
      </x:c>
      <x:c r="E611" s="1" t="str">
        <x:v>Home</x:v>
      </x:c>
      <x:c r="F611" s="1" t="str">
        <x:v>Storage box</x:v>
      </x:c>
      <x:c r="G611" s="1" t="n">
        <x:v>4</x:v>
      </x:c>
      <x:c r="H611" s="2" t="n">
        <x:v>800</x:v>
      </x:c>
      <x:c r="I611" s="3" t="n">
        <x:v>0</x:v>
      </x:c>
      <x:c r="J611" s="2" t="n">
        <x:v>420</x:v>
      </x:c>
      <x:c r="K611" s="2" t="n">
        <x:v>80</x:v>
      </x:c>
      <x:c r="L611" s="2" t="n">
        <x:f>G611*H611</x:f>
        <x:v>3200</x:v>
      </x:c>
      <x:c r="M611" s="2" t="n">
        <x:f>ROUND(L611*(1-I611),2)</x:f>
        <x:v>3200</x:v>
      </x:c>
      <x:c r="N611" s="2" t="n">
        <x:f>G611*J611</x:f>
        <x:v>1680</x:v>
      </x:c>
      <x:c r="O611" s="2" t="n">
        <x:f>M611-N611-K611</x:f>
        <x:v>1440</x:v>
      </x:c>
      <x:c r="P611" s="1" t="str">
        <x:f>TEXT(B611,"yyyy-mm")</x:f>
        <x:v>2025-08</x:v>
      </x:c>
    </x:row>
    <x:row r="612">
      <x:c r="A612" s="1" t="str">
        <x:v>ORD-0608</x:v>
      </x:c>
      <x:c r="B612" s="4" t="d">
        <x:v>2025-02-19T00:00:00.000Z</x:v>
      </x:c>
      <x:c r="C612" s="1" t="str">
        <x:v>C-130</x:v>
      </x:c>
      <x:c r="D612" s="1" t="str">
        <x:v>East</x:v>
      </x:c>
      <x:c r="E612" s="1" t="str">
        <x:v>Home</x:v>
      </x:c>
      <x:c r="F612" s="1" t="str">
        <x:v>Office chair</x:v>
      </x:c>
      <x:c r="G612" s="1" t="n">
        <x:v>4</x:v>
      </x:c>
      <x:c r="H612" s="2" t="n">
        <x:v>5500</x:v>
      </x:c>
      <x:c r="I612" s="3" t="n">
        <x:v>0.35</x:v>
      </x:c>
      <x:c r="J612" s="2" t="n">
        <x:v>4400</x:v>
      </x:c>
      <x:c r="K612" s="2" t="n">
        <x:v>120</x:v>
      </x:c>
      <x:c r="L612" s="2" t="n">
        <x:f>G612*H612</x:f>
        <x:v>22000</x:v>
      </x:c>
      <x:c r="M612" s="2" t="n">
        <x:f>ROUND(L612*(1-I612),2)</x:f>
        <x:v>14300</x:v>
      </x:c>
      <x:c r="N612" s="2" t="n">
        <x:f>G612*J612</x:f>
        <x:v>17600</x:v>
      </x:c>
      <x:c r="O612" s="2" t="n">
        <x:f>M612-N612-K612</x:f>
        <x:v>-3420</x:v>
      </x:c>
      <x:c r="P612" s="1" t="str">
        <x:f>TEXT(B612,"yyyy-mm")</x:f>
        <x:v>2025-02</x:v>
      </x:c>
    </x:row>
    <x:row r="613">
      <x:c r="A613" s="1" t="str">
        <x:v>ORD-0609</x:v>
      </x:c>
      <x:c r="B613" s="4" t="d">
        <x:v>2025-06-13T00:00:00.000Z</x:v>
      </x:c>
      <x:c r="C613" s="1" t="str">
        <x:v>C-105</x:v>
      </x:c>
      <x:c r="D613" s="1" t="str">
        <x:v>West</x:v>
      </x:c>
      <x:c r="E613" s="1" t="str">
        <x:v>Fashion</x:v>
      </x:c>
      <x:c r="F613" s="1" t="str">
        <x:v>Sneakers</x:v>
      </x:c>
      <x:c r="G613" s="1" t="n">
        <x:v>4</x:v>
      </x:c>
      <x:c r="H613" s="2" t="n">
        <x:v>2400</x:v>
      </x:c>
      <x:c r="I613" s="3" t="n">
        <x:v>0.35</x:v>
      </x:c>
      <x:c r="J613" s="2" t="n">
        <x:v>1200</x:v>
      </x:c>
      <x:c r="K613" s="2" t="n">
        <x:v>50</x:v>
      </x:c>
      <x:c r="L613" s="2" t="n">
        <x:f>G613*H613</x:f>
        <x:v>9600</x:v>
      </x:c>
      <x:c r="M613" s="2" t="n">
        <x:f>ROUND(L613*(1-I613),2)</x:f>
        <x:v>6240</x:v>
      </x:c>
      <x:c r="N613" s="2" t="n">
        <x:f>G613*J613</x:f>
        <x:v>4800</x:v>
      </x:c>
      <x:c r="O613" s="2" t="n">
        <x:f>M613-N613-K613</x:f>
        <x:v>1390</x:v>
      </x:c>
      <x:c r="P613" s="1" t="str">
        <x:f>TEXT(B613,"yyyy-mm")</x:f>
        <x:v>2025-06</x:v>
      </x:c>
    </x:row>
    <x:row r="614">
      <x:c r="A614" s="1" t="str">
        <x:v>ORD-0610</x:v>
      </x:c>
      <x:c r="B614" s="4" t="d">
        <x:v>2025-06-09T00:00:00.000Z</x:v>
      </x:c>
      <x:c r="C614" s="1" t="str">
        <x:v>C-158</x:v>
      </x:c>
      <x:c r="D614" s="1" t="str">
        <x:v>East</x:v>
      </x:c>
      <x:c r="E614" s="1" t="str">
        <x:v>Home</x:v>
      </x:c>
      <x:c r="F614" s="1" t="str">
        <x:v>Storage box</x:v>
      </x:c>
      <x:c r="G614" s="1" t="n">
        <x:v>4</x:v>
      </x:c>
      <x:c r="H614" s="2" t="n">
        <x:v>800</x:v>
      </x:c>
      <x:c r="I614" s="3" t="n">
        <x:v>0.15</x:v>
      </x:c>
      <x:c r="J614" s="2" t="n">
        <x:v>420</x:v>
      </x:c>
      <x:c r="K614" s="2" t="n">
        <x:v>120</x:v>
      </x:c>
      <x:c r="L614" s="2" t="n">
        <x:f>G614*H614</x:f>
        <x:v>3200</x:v>
      </x:c>
      <x:c r="M614" s="2" t="n">
        <x:f>ROUND(L614*(1-I614),2)</x:f>
        <x:v>2720</x:v>
      </x:c>
      <x:c r="N614" s="2" t="n">
        <x:f>G614*J614</x:f>
        <x:v>1680</x:v>
      </x:c>
      <x:c r="O614" s="2" t="n">
        <x:f>M614-N614-K614</x:f>
        <x:v>920</x:v>
      </x:c>
      <x:c r="P614" s="1" t="str">
        <x:f>TEXT(B614,"yyyy-mm")</x:f>
        <x:v>2025-06</x:v>
      </x:c>
    </x:row>
    <x:row r="615">
      <x:c r="A615" s="1" t="str">
        <x:v>ORD-0611</x:v>
      </x:c>
      <x:c r="B615" s="4" t="d">
        <x:v>2025-03-08T00:00:00.000Z</x:v>
      </x:c>
      <x:c r="C615" s="1" t="str">
        <x:v>C-229</x:v>
      </x:c>
      <x:c r="D615" s="1" t="str">
        <x:v>South</x:v>
      </x:c>
      <x:c r="E615" s="1" t="str">
        <x:v>Electronics</x:v>
      </x:c>
      <x:c r="F615" s="1" t="str">
        <x:v>Keyboard</x:v>
      </x:c>
      <x:c r="G615" s="1" t="n">
        <x:v>1</x:v>
      </x:c>
      <x:c r="H615" s="2" t="n">
        <x:v>1500</x:v>
      </x:c>
      <x:c r="I615" s="3" t="n">
        <x:v>0.35</x:v>
      </x:c>
      <x:c r="J615" s="2" t="n">
        <x:v>900</x:v>
      </x:c>
      <x:c r="K615" s="2" t="n">
        <x:v>50</x:v>
      </x:c>
      <x:c r="L615" s="2" t="n">
        <x:f>G615*H615</x:f>
        <x:v>1500</x:v>
      </x:c>
      <x:c r="M615" s="2" t="n">
        <x:f>ROUND(L615*(1-I615),2)</x:f>
        <x:v>975</x:v>
      </x:c>
      <x:c r="N615" s="2" t="n">
        <x:f>G615*J615</x:f>
        <x:v>900</x:v>
      </x:c>
      <x:c r="O615" s="2" t="n">
        <x:f>M615-N615-K615</x:f>
        <x:v>25</x:v>
      </x:c>
      <x:c r="P615" s="1" t="str">
        <x:f>TEXT(B615,"yyyy-mm")</x:f>
        <x:v>2025-03</x:v>
      </x:c>
    </x:row>
    <x:row r="616">
      <x:c r="A616" s="1" t="str">
        <x:v>ORD-0612</x:v>
      </x:c>
      <x:c r="B616" s="4" t="d">
        <x:v>2025-08-20T00:00:00.000Z</x:v>
      </x:c>
      <x:c r="C616" s="1" t="str">
        <x:v>C-027</x:v>
      </x:c>
      <x:c r="D616" s="1" t="str">
        <x:v>South</x:v>
      </x:c>
      <x:c r="E616" s="1" t="str">
        <x:v>Fashion</x:v>
      </x:c>
      <x:c r="F616" s="1" t="str">
        <x:v>Backpack</x:v>
      </x:c>
      <x:c r="G616" s="1" t="n">
        <x:v>4</x:v>
      </x:c>
      <x:c r="H616" s="2" t="n">
        <x:v>1300</x:v>
      </x:c>
      <x:c r="I616" s="3" t="n">
        <x:v>0.25</x:v>
      </x:c>
      <x:c r="J616" s="2" t="n">
        <x:v>650</x:v>
      </x:c>
      <x:c r="K616" s="2" t="n">
        <x:v>120</x:v>
      </x:c>
      <x:c r="L616" s="2" t="n">
        <x:f>G616*H616</x:f>
        <x:v>5200</x:v>
      </x:c>
      <x:c r="M616" s="2" t="n">
        <x:f>ROUND(L616*(1-I616),2)</x:f>
        <x:v>3900</x:v>
      </x:c>
      <x:c r="N616" s="2" t="n">
        <x:f>G616*J616</x:f>
        <x:v>2600</x:v>
      </x:c>
      <x:c r="O616" s="2" t="n">
        <x:f>M616-N616-K616</x:f>
        <x:v>1180</x:v>
      </x:c>
      <x:c r="P616" s="1" t="str">
        <x:f>TEXT(B616,"yyyy-mm")</x:f>
        <x:v>2025-08</x:v>
      </x:c>
    </x:row>
    <x:row r="617">
      <x:c r="A617" s="1" t="str">
        <x:v>ORD-0613</x:v>
      </x:c>
      <x:c r="B617" s="4" t="d">
        <x:v>2025-01-16T00:00:00.000Z</x:v>
      </x:c>
      <x:c r="C617" s="1" t="str">
        <x:v>C-223</x:v>
      </x:c>
      <x:c r="D617" s="1" t="str">
        <x:v>North</x:v>
      </x:c>
      <x:c r="E617" s="1" t="str">
        <x:v>Electronics</x:v>
      </x:c>
      <x:c r="F617" s="1" t="str">
        <x:v>Keyboard</x:v>
      </x:c>
      <x:c r="G617" s="1" t="n">
        <x:v>1</x:v>
      </x:c>
      <x:c r="H617" s="2" t="n">
        <x:v>1500</x:v>
      </x:c>
      <x:c r="I617" s="3" t="n">
        <x:v>0.05</x:v>
      </x:c>
      <x:c r="J617" s="2" t="n">
        <x:v>900</x:v>
      </x:c>
      <x:c r="K617" s="2" t="n">
        <x:v>80</x:v>
      </x:c>
      <x:c r="L617" s="2" t="n">
        <x:f>G617*H617</x:f>
        <x:v>1500</x:v>
      </x:c>
      <x:c r="M617" s="2" t="n">
        <x:f>ROUND(L617*(1-I617),2)</x:f>
        <x:v>1425</x:v>
      </x:c>
      <x:c r="N617" s="2" t="n">
        <x:f>G617*J617</x:f>
        <x:v>900</x:v>
      </x:c>
      <x:c r="O617" s="2" t="n">
        <x:f>M617-N617-K617</x:f>
        <x:v>445</x:v>
      </x:c>
      <x:c r="P617" s="1" t="str">
        <x:f>TEXT(B617,"yyyy-mm")</x:f>
        <x:v>2025-01</x:v>
      </x:c>
    </x:row>
    <x:row r="618">
      <x:c r="A618" s="1" t="str">
        <x:v>ORD-0614</x:v>
      </x:c>
      <x:c r="B618" s="4" t="d">
        <x:v>2025-04-02T00:00:00.000Z</x:v>
      </x:c>
      <x:c r="C618" s="1" t="str">
        <x:v>C-197</x:v>
      </x:c>
      <x:c r="D618" s="1" t="str">
        <x:v>West</x:v>
      </x:c>
      <x:c r="E618" s="1" t="str">
        <x:v>Electronics</x:v>
      </x:c>
      <x:c r="F618" s="1" t="str">
        <x:v>Keyboard</x:v>
      </x:c>
      <x:c r="G618" s="1" t="n">
        <x:v>3</x:v>
      </x:c>
      <x:c r="H618" s="2" t="n">
        <x:v>1500</x:v>
      </x:c>
      <x:c r="I618" s="3" t="n">
        <x:v>0.25</x:v>
      </x:c>
      <x:c r="J618" s="2" t="n">
        <x:v>900</x:v>
      </x:c>
      <x:c r="K618" s="2" t="n">
        <x:v>120</x:v>
      </x:c>
      <x:c r="L618" s="2" t="n">
        <x:f>G618*H618</x:f>
        <x:v>4500</x:v>
      </x:c>
      <x:c r="M618" s="2" t="n">
        <x:f>ROUND(L618*(1-I618),2)</x:f>
        <x:v>3375</x:v>
      </x:c>
      <x:c r="N618" s="2" t="n">
        <x:f>G618*J618</x:f>
        <x:v>2700</x:v>
      </x:c>
      <x:c r="O618" s="2" t="n">
        <x:f>M618-N618-K618</x:f>
        <x:v>555</x:v>
      </x:c>
      <x:c r="P618" s="1" t="str">
        <x:f>TEXT(B618,"yyyy-mm")</x:f>
        <x:v>2025-04</x:v>
      </x:c>
    </x:row>
    <x:row r="619">
      <x:c r="A619" s="1" t="str">
        <x:v>ORD-0615</x:v>
      </x:c>
      <x:c r="B619" s="4" t="d">
        <x:v>2025-12-21T00:00:00.000Z</x:v>
      </x:c>
      <x:c r="C619" s="1" t="str">
        <x:v>C-254</x:v>
      </x:c>
      <x:c r="D619" s="1" t="str">
        <x:v>West</x:v>
      </x:c>
      <x:c r="E619" s="1" t="str">
        <x:v>Electronics</x:v>
      </x:c>
      <x:c r="F619" s="1" t="str">
        <x:v>Headphones</x:v>
      </x:c>
      <x:c r="G619" s="1" t="n">
        <x:v>1</x:v>
      </x:c>
      <x:c r="H619" s="2" t="n">
        <x:v>2200</x:v>
      </x:c>
      <x:c r="I619" s="3" t="n">
        <x:v>0.05</x:v>
      </x:c>
      <x:c r="J619" s="2" t="n">
        <x:v>1450</x:v>
      </x:c>
      <x:c r="K619" s="2" t="n">
        <x:v>50</x:v>
      </x:c>
      <x:c r="L619" s="2" t="n">
        <x:f>G619*H619</x:f>
        <x:v>2200</x:v>
      </x:c>
      <x:c r="M619" s="2" t="n">
        <x:f>ROUND(L619*(1-I619),2)</x:f>
        <x:v>2090</x:v>
      </x:c>
      <x:c r="N619" s="2" t="n">
        <x:f>G619*J619</x:f>
        <x:v>1450</x:v>
      </x:c>
      <x:c r="O619" s="2" t="n">
        <x:f>M619-N619-K619</x:f>
        <x:v>590</x:v>
      </x:c>
      <x:c r="P619" s="1" t="str">
        <x:f>TEXT(B619,"yyyy-mm")</x:f>
        <x:v>2025-12</x:v>
      </x:c>
    </x:row>
    <x:row r="620">
      <x:c r="A620" s="1" t="str">
        <x:v>ORD-0616</x:v>
      </x:c>
      <x:c r="B620" s="4" t="d">
        <x:v>2025-11-07T00:00:00.000Z</x:v>
      </x:c>
      <x:c r="C620" s="1" t="str">
        <x:v>C-018</x:v>
      </x:c>
      <x:c r="D620" s="1" t="str">
        <x:v>South</x:v>
      </x:c>
      <x:c r="E620" s="1" t="str">
        <x:v>Home</x:v>
      </x:c>
      <x:c r="F620" s="1" t="str">
        <x:v>Storage box</x:v>
      </x:c>
      <x:c r="G620" s="1" t="n">
        <x:v>2</x:v>
      </x:c>
      <x:c r="H620" s="2" t="n">
        <x:v>800</x:v>
      </x:c>
      <x:c r="I620" s="3" t="n">
        <x:v>0.1</x:v>
      </x:c>
      <x:c r="J620" s="2" t="n">
        <x:v>420</x:v>
      </x:c>
      <x:c r="K620" s="2" t="n">
        <x:v>120</x:v>
      </x:c>
      <x:c r="L620" s="2" t="n">
        <x:f>G620*H620</x:f>
        <x:v>1600</x:v>
      </x:c>
      <x:c r="M620" s="2" t="n">
        <x:f>ROUND(L620*(1-I620),2)</x:f>
        <x:v>1440</x:v>
      </x:c>
      <x:c r="N620" s="2" t="n">
        <x:f>G620*J620</x:f>
        <x:v>840</x:v>
      </x:c>
      <x:c r="O620" s="2" t="n">
        <x:f>M620-N620-K620</x:f>
        <x:v>480</x:v>
      </x:c>
      <x:c r="P620" s="1" t="str">
        <x:f>TEXT(B620,"yyyy-mm")</x:f>
        <x:v>2025-11</x:v>
      </x:c>
    </x:row>
    <x:row r="621">
      <x:c r="A621" s="1" t="str">
        <x:v>ORD-0617</x:v>
      </x:c>
      <x:c r="B621" s="4" t="d">
        <x:v>2025-01-01T00:00:00.000Z</x:v>
      </x:c>
      <x:c r="C621" s="1" t="str">
        <x:v>C-081</x:v>
      </x:c>
      <x:c r="D621" s="1" t="str">
        <x:v>North</x:v>
      </x:c>
      <x:c r="E621" s="1" t="str">
        <x:v>Fashion</x:v>
      </x:c>
      <x:c r="F621" s="1" t="str">
        <x:v>T-shirt</x:v>
      </x:c>
      <x:c r="G621" s="1" t="n">
        <x:v>3</x:v>
      </x:c>
      <x:c r="H621" s="2" t="n">
        <x:v>700</x:v>
      </x:c>
      <x:c r="I621" s="3" t="n">
        <x:v>0.35</x:v>
      </x:c>
      <x:c r="J621" s="2" t="n">
        <x:v>300</x:v>
      </x:c>
      <x:c r="K621" s="2" t="n">
        <x:v>80</x:v>
      </x:c>
      <x:c r="L621" s="2" t="n">
        <x:f>G621*H621</x:f>
        <x:v>2100</x:v>
      </x:c>
      <x:c r="M621" s="2" t="n">
        <x:f>ROUND(L621*(1-I621),2)</x:f>
        <x:v>1365</x:v>
      </x:c>
      <x:c r="N621" s="2" t="n">
        <x:f>G621*J621</x:f>
        <x:v>900</x:v>
      </x:c>
      <x:c r="O621" s="2" t="n">
        <x:f>M621-N621-K621</x:f>
        <x:v>385</x:v>
      </x:c>
      <x:c r="P621" s="1" t="str">
        <x:f>TEXT(B621,"yyyy-mm")</x:f>
        <x:v>2025-01</x:v>
      </x:c>
    </x:row>
    <x:row r="622">
      <x:c r="A622" s="1" t="str">
        <x:v>ORD-0618</x:v>
      </x:c>
      <x:c r="B622" s="4" t="d">
        <x:v>2025-06-19T00:00:00.000Z</x:v>
      </x:c>
      <x:c r="C622" s="1" t="str">
        <x:v>C-103</x:v>
      </x:c>
      <x:c r="D622" s="1" t="str">
        <x:v>North</x:v>
      </x:c>
      <x:c r="E622" s="1" t="str">
        <x:v>Home</x:v>
      </x:c>
      <x:c r="F622" s="1" t="str">
        <x:v>Office chair</x:v>
      </x:c>
      <x:c r="G622" s="1" t="n">
        <x:v>1</x:v>
      </x:c>
      <x:c r="H622" s="2" t="n">
        <x:v>5500</x:v>
      </x:c>
      <x:c r="I622" s="3" t="n">
        <x:v>0.15</x:v>
      </x:c>
      <x:c r="J622" s="2" t="n">
        <x:v>4400</x:v>
      </x:c>
      <x:c r="K622" s="2" t="n">
        <x:v>50</x:v>
      </x:c>
      <x:c r="L622" s="2" t="n">
        <x:f>G622*H622</x:f>
        <x:v>5500</x:v>
      </x:c>
      <x:c r="M622" s="2" t="n">
        <x:f>ROUND(L622*(1-I622),2)</x:f>
        <x:v>4675</x:v>
      </x:c>
      <x:c r="N622" s="2" t="n">
        <x:f>G622*J622</x:f>
        <x:v>4400</x:v>
      </x:c>
      <x:c r="O622" s="2" t="n">
        <x:f>M622-N622-K622</x:f>
        <x:v>225</x:v>
      </x:c>
      <x:c r="P622" s="1" t="str">
        <x:f>TEXT(B622,"yyyy-mm")</x:f>
        <x:v>2025-06</x:v>
      </x:c>
    </x:row>
    <x:row r="623">
      <x:c r="A623" s="1" t="str">
        <x:v>ORD-0619</x:v>
      </x:c>
      <x:c r="B623" s="4" t="d">
        <x:v>2025-08-12T00:00:00.000Z</x:v>
      </x:c>
      <x:c r="C623" s="1" t="str">
        <x:v>C-178</x:v>
      </x:c>
      <x:c r="D623" s="1" t="str">
        <x:v>East</x:v>
      </x:c>
      <x:c r="E623" s="1" t="str">
        <x:v>Home</x:v>
      </x:c>
      <x:c r="F623" s="1" t="str">
        <x:v>Storage box</x:v>
      </x:c>
      <x:c r="G623" s="1" t="n">
        <x:v>2</x:v>
      </x:c>
      <x:c r="H623" s="2" t="n">
        <x:v>800</x:v>
      </x:c>
      <x:c r="I623" s="3" t="n">
        <x:v>0.25</x:v>
      </x:c>
      <x:c r="J623" s="2" t="n">
        <x:v>420</x:v>
      </x:c>
      <x:c r="K623" s="2" t="n">
        <x:v>120</x:v>
      </x:c>
      <x:c r="L623" s="2" t="n">
        <x:f>G623*H623</x:f>
        <x:v>1600</x:v>
      </x:c>
      <x:c r="M623" s="2" t="n">
        <x:f>ROUND(L623*(1-I623),2)</x:f>
        <x:v>1200</x:v>
      </x:c>
      <x:c r="N623" s="2" t="n">
        <x:f>G623*J623</x:f>
        <x:v>840</x:v>
      </x:c>
      <x:c r="O623" s="2" t="n">
        <x:f>M623-N623-K623</x:f>
        <x:v>240</x:v>
      </x:c>
      <x:c r="P623" s="1" t="str">
        <x:f>TEXT(B623,"yyyy-mm")</x:f>
        <x:v>2025-08</x:v>
      </x:c>
    </x:row>
    <x:row r="624">
      <x:c r="A624" s="1" t="str">
        <x:v>ORD-0620</x:v>
      </x:c>
      <x:c r="B624" s="4" t="d">
        <x:v>2025-12-19T00:00:00.000Z</x:v>
      </x:c>
      <x:c r="C624" s="1" t="str">
        <x:v>C-003</x:v>
      </x:c>
      <x:c r="D624" s="1" t="str">
        <x:v>East</x:v>
      </x:c>
      <x:c r="E624" s="1" t="str">
        <x:v>Home</x:v>
      </x:c>
      <x:c r="F624" s="1" t="str">
        <x:v>Desk lamp</x:v>
      </x:c>
      <x:c r="G624" s="1" t="n">
        <x:v>2</x:v>
      </x:c>
      <x:c r="H624" s="2" t="n">
        <x:v>1100</x:v>
      </x:c>
      <x:c r="I624" s="3" t="n">
        <x:v>0.15</x:v>
      </x:c>
      <x:c r="J624" s="2" t="n">
        <x:v>650</x:v>
      </x:c>
      <x:c r="K624" s="2" t="n">
        <x:v>80</x:v>
      </x:c>
      <x:c r="L624" s="2" t="n">
        <x:f>G624*H624</x:f>
        <x:v>2200</x:v>
      </x:c>
      <x:c r="M624" s="2" t="n">
        <x:f>ROUND(L624*(1-I624),2)</x:f>
        <x:v>1870</x:v>
      </x:c>
      <x:c r="N624" s="2" t="n">
        <x:f>G624*J624</x:f>
        <x:v>1300</x:v>
      </x:c>
      <x:c r="O624" s="2" t="n">
        <x:f>M624-N624-K624</x:f>
        <x:v>490</x:v>
      </x:c>
      <x:c r="P624" s="1" t="str">
        <x:f>TEXT(B624,"yyyy-mm")</x:f>
        <x:v>2025-12</x:v>
      </x:c>
    </x:row>
    <x:row r="625">
      <x:c r="A625" s="1" t="str">
        <x:v>ORD-0621</x:v>
      </x:c>
      <x:c r="B625" s="4" t="d">
        <x:v>2025-08-17T00:00:00.000Z</x:v>
      </x:c>
      <x:c r="C625" s="1" t="str">
        <x:v>C-151</x:v>
      </x:c>
      <x:c r="D625" s="1" t="str">
        <x:v>East</x:v>
      </x:c>
      <x:c r="E625" s="1" t="str">
        <x:v>Home</x:v>
      </x:c>
      <x:c r="F625" s="1" t="str">
        <x:v>Storage box</x:v>
      </x:c>
      <x:c r="G625" s="1" t="n">
        <x:v>1</x:v>
      </x:c>
      <x:c r="H625" s="2" t="n">
        <x:v>800</x:v>
      </x:c>
      <x:c r="I625" s="3" t="n">
        <x:v>0</x:v>
      </x:c>
      <x:c r="J625" s="2" t="n">
        <x:v>420</x:v>
      </x:c>
      <x:c r="K625" s="2" t="n">
        <x:v>120</x:v>
      </x:c>
      <x:c r="L625" s="2" t="n">
        <x:f>G625*H625</x:f>
        <x:v>800</x:v>
      </x:c>
      <x:c r="M625" s="2" t="n">
        <x:f>ROUND(L625*(1-I625),2)</x:f>
        <x:v>800</x:v>
      </x:c>
      <x:c r="N625" s="2" t="n">
        <x:f>G625*J625</x:f>
        <x:v>420</x:v>
      </x:c>
      <x:c r="O625" s="2" t="n">
        <x:f>M625-N625-K625</x:f>
        <x:v>260</x:v>
      </x:c>
      <x:c r="P625" s="1" t="str">
        <x:f>TEXT(B625,"yyyy-mm")</x:f>
        <x:v>2025-08</x:v>
      </x:c>
    </x:row>
    <x:row r="626">
      <x:c r="A626" s="1" t="str">
        <x:v>ORD-0622</x:v>
      </x:c>
      <x:c r="B626" s="4" t="d">
        <x:v>2025-12-09T00:00:00.000Z</x:v>
      </x:c>
      <x:c r="C626" s="1" t="str">
        <x:v>C-227</x:v>
      </x:c>
      <x:c r="D626" s="1" t="str">
        <x:v>West</x:v>
      </x:c>
      <x:c r="E626" s="1" t="str">
        <x:v>Home</x:v>
      </x:c>
      <x:c r="F626" s="1" t="str">
        <x:v>Storage box</x:v>
      </x:c>
      <x:c r="G626" s="1" t="n">
        <x:v>4</x:v>
      </x:c>
      <x:c r="H626" s="2" t="n">
        <x:v>800</x:v>
      </x:c>
      <x:c r="I626" s="3" t="n">
        <x:v>0.25</x:v>
      </x:c>
      <x:c r="J626" s="2" t="n">
        <x:v>420</x:v>
      </x:c>
      <x:c r="K626" s="2" t="n">
        <x:v>50</x:v>
      </x:c>
      <x:c r="L626" s="2" t="n">
        <x:f>G626*H626</x:f>
        <x:v>3200</x:v>
      </x:c>
      <x:c r="M626" s="2" t="n">
        <x:f>ROUND(L626*(1-I626),2)</x:f>
        <x:v>2400</x:v>
      </x:c>
      <x:c r="N626" s="2" t="n">
        <x:f>G626*J626</x:f>
        <x:v>1680</x:v>
      </x:c>
      <x:c r="O626" s="2" t="n">
        <x:f>M626-N626-K626</x:f>
        <x:v>670</x:v>
      </x:c>
      <x:c r="P626" s="1" t="str">
        <x:f>TEXT(B626,"yyyy-mm")</x:f>
        <x:v>2025-12</x:v>
      </x:c>
    </x:row>
    <x:row r="627">
      <x:c r="A627" s="1" t="str">
        <x:v>ORD-0623</x:v>
      </x:c>
      <x:c r="B627" s="4" t="d">
        <x:v>2025-10-15T00:00:00.000Z</x:v>
      </x:c>
      <x:c r="C627" s="1" t="str">
        <x:v>C-015</x:v>
      </x:c>
      <x:c r="D627" s="1" t="str">
        <x:v>West</x:v>
      </x:c>
      <x:c r="E627" s="1" t="str">
        <x:v>Home</x:v>
      </x:c>
      <x:c r="F627" s="1" t="str">
        <x:v>Desk lamp</x:v>
      </x:c>
      <x:c r="G627" s="1" t="n">
        <x:v>1</x:v>
      </x:c>
      <x:c r="H627" s="2" t="n">
        <x:v>1100</x:v>
      </x:c>
      <x:c r="I627" s="3" t="n">
        <x:v>0.35</x:v>
      </x:c>
      <x:c r="J627" s="2" t="n">
        <x:v>650</x:v>
      </x:c>
      <x:c r="K627" s="2" t="n">
        <x:v>80</x:v>
      </x:c>
      <x:c r="L627" s="2" t="n">
        <x:f>G627*H627</x:f>
        <x:v>1100</x:v>
      </x:c>
      <x:c r="M627" s="2" t="n">
        <x:f>ROUND(L627*(1-I627),2)</x:f>
        <x:v>715</x:v>
      </x:c>
      <x:c r="N627" s="2" t="n">
        <x:f>G627*J627</x:f>
        <x:v>650</x:v>
      </x:c>
      <x:c r="O627" s="2" t="n">
        <x:f>M627-N627-K627</x:f>
        <x:v>-15</x:v>
      </x:c>
      <x:c r="P627" s="1" t="str">
        <x:f>TEXT(B627,"yyyy-mm")</x:f>
        <x:v>2025-10</x:v>
      </x:c>
    </x:row>
    <x:row r="628">
      <x:c r="A628" s="1" t="str">
        <x:v>ORD-0624</x:v>
      </x:c>
      <x:c r="B628" s="4" t="d">
        <x:v>2025-02-23T00:00:00.000Z</x:v>
      </x:c>
      <x:c r="C628" s="1" t="str">
        <x:v>C-118</x:v>
      </x:c>
      <x:c r="D628" s="1" t="str">
        <x:v>East</x:v>
      </x:c>
      <x:c r="E628" s="1" t="str">
        <x:v>Fashion</x:v>
      </x:c>
      <x:c r="F628" s="1" t="str">
        <x:v>T-shirt</x:v>
      </x:c>
      <x:c r="G628" s="1" t="n">
        <x:v>4</x:v>
      </x:c>
      <x:c r="H628" s="2" t="n">
        <x:v>700</x:v>
      </x:c>
      <x:c r="I628" s="3" t="n">
        <x:v>0.35</x:v>
      </x:c>
      <x:c r="J628" s="2" t="n">
        <x:v>300</x:v>
      </x:c>
      <x:c r="K628" s="2" t="n">
        <x:v>80</x:v>
      </x:c>
      <x:c r="L628" s="2" t="n">
        <x:f>G628*H628</x:f>
        <x:v>2800</x:v>
      </x:c>
      <x:c r="M628" s="2" t="n">
        <x:f>ROUND(L628*(1-I628),2)</x:f>
        <x:v>1820</x:v>
      </x:c>
      <x:c r="N628" s="2" t="n">
        <x:f>G628*J628</x:f>
        <x:v>1200</x:v>
      </x:c>
      <x:c r="O628" s="2" t="n">
        <x:f>M628-N628-K628</x:f>
        <x:v>540</x:v>
      </x:c>
      <x:c r="P628" s="1" t="str">
        <x:f>TEXT(B628,"yyyy-mm")</x:f>
        <x:v>2025-02</x:v>
      </x:c>
    </x:row>
    <x:row r="629">
      <x:c r="A629" s="1" t="str">
        <x:v>ORD-0625</x:v>
      </x:c>
      <x:c r="B629" s="4" t="d">
        <x:v>2025-08-27T00:00:00.000Z</x:v>
      </x:c>
      <x:c r="C629" s="1" t="str">
        <x:v>C-135</x:v>
      </x:c>
      <x:c r="D629" s="1" t="str">
        <x:v>South</x:v>
      </x:c>
      <x:c r="E629" s="1" t="str">
        <x:v>Electronics</x:v>
      </x:c>
      <x:c r="F629" s="1" t="str">
        <x:v>Headphones</x:v>
      </x:c>
      <x:c r="G629" s="1" t="n">
        <x:v>3</x:v>
      </x:c>
      <x:c r="H629" s="2" t="n">
        <x:v>2200</x:v>
      </x:c>
      <x:c r="I629" s="3" t="n">
        <x:v>0.35</x:v>
      </x:c>
      <x:c r="J629" s="2" t="n">
        <x:v>1450</x:v>
      </x:c>
      <x:c r="K629" s="2" t="n">
        <x:v>50</x:v>
      </x:c>
      <x:c r="L629" s="2" t="n">
        <x:f>G629*H629</x:f>
        <x:v>6600</x:v>
      </x:c>
      <x:c r="M629" s="2" t="n">
        <x:f>ROUND(L629*(1-I629),2)</x:f>
        <x:v>4290</x:v>
      </x:c>
      <x:c r="N629" s="2" t="n">
        <x:f>G629*J629</x:f>
        <x:v>4350</x:v>
      </x:c>
      <x:c r="O629" s="2" t="n">
        <x:f>M629-N629-K629</x:f>
        <x:v>-110</x:v>
      </x:c>
      <x:c r="P629" s="1" t="str">
        <x:f>TEXT(B629,"yyyy-mm")</x:f>
        <x:v>2025-08</x:v>
      </x:c>
    </x:row>
    <x:row r="630">
      <x:c r="A630" s="1" t="str">
        <x:v>ORD-0626</x:v>
      </x:c>
      <x:c r="B630" s="4" t="d">
        <x:v>2025-06-18T00:00:00.000Z</x:v>
      </x:c>
      <x:c r="C630" s="1" t="str">
        <x:v>C-092</x:v>
      </x:c>
      <x:c r="D630" s="1" t="str">
        <x:v>West</x:v>
      </x:c>
      <x:c r="E630" s="1" t="str">
        <x:v>Fashion</x:v>
      </x:c>
      <x:c r="F630" s="1" t="str">
        <x:v>Backpack</x:v>
      </x:c>
      <x:c r="G630" s="1" t="n">
        <x:v>3</x:v>
      </x:c>
      <x:c r="H630" s="2" t="n">
        <x:v>1300</x:v>
      </x:c>
      <x:c r="I630" s="3" t="n">
        <x:v>0</x:v>
      </x:c>
      <x:c r="J630" s="2" t="n">
        <x:v>650</x:v>
      </x:c>
      <x:c r="K630" s="2" t="n">
        <x:v>80</x:v>
      </x:c>
      <x:c r="L630" s="2" t="n">
        <x:f>G630*H630</x:f>
        <x:v>3900</x:v>
      </x:c>
      <x:c r="M630" s="2" t="n">
        <x:f>ROUND(L630*(1-I630),2)</x:f>
        <x:v>3900</x:v>
      </x:c>
      <x:c r="N630" s="2" t="n">
        <x:f>G630*J630</x:f>
        <x:v>1950</x:v>
      </x:c>
      <x:c r="O630" s="2" t="n">
        <x:f>M630-N630-K630</x:f>
        <x:v>1870</x:v>
      </x:c>
      <x:c r="P630" s="1" t="str">
        <x:f>TEXT(B630,"yyyy-mm")</x:f>
        <x:v>2025-06</x:v>
      </x:c>
    </x:row>
    <x:row r="631">
      <x:c r="A631" s="1" t="str">
        <x:v>ORD-0627</x:v>
      </x:c>
      <x:c r="B631" s="4" t="d">
        <x:v>2025-04-24T00:00:00.000Z</x:v>
      </x:c>
      <x:c r="C631" s="1" t="str">
        <x:v>C-098</x:v>
      </x:c>
      <x:c r="D631" s="1" t="str">
        <x:v>West</x:v>
      </x:c>
      <x:c r="E631" s="1" t="str">
        <x:v>Fashion</x:v>
      </x:c>
      <x:c r="F631" s="1" t="str">
        <x:v>Sneakers</x:v>
      </x:c>
      <x:c r="G631" s="1" t="n">
        <x:v>2</x:v>
      </x:c>
      <x:c r="H631" s="2" t="n">
        <x:v>2400</x:v>
      </x:c>
      <x:c r="I631" s="3" t="n">
        <x:v>0.05</x:v>
      </x:c>
      <x:c r="J631" s="2" t="n">
        <x:v>1200</x:v>
      </x:c>
      <x:c r="K631" s="2" t="n">
        <x:v>50</x:v>
      </x:c>
      <x:c r="L631" s="2" t="n">
        <x:f>G631*H631</x:f>
        <x:v>4800</x:v>
      </x:c>
      <x:c r="M631" s="2" t="n">
        <x:f>ROUND(L631*(1-I631),2)</x:f>
        <x:v>4560</x:v>
      </x:c>
      <x:c r="N631" s="2" t="n">
        <x:f>G631*J631</x:f>
        <x:v>2400</x:v>
      </x:c>
      <x:c r="O631" s="2" t="n">
        <x:f>M631-N631-K631</x:f>
        <x:v>2110</x:v>
      </x:c>
      <x:c r="P631" s="1" t="str">
        <x:f>TEXT(B631,"yyyy-mm")</x:f>
        <x:v>2025-04</x:v>
      </x:c>
    </x:row>
    <x:row r="632">
      <x:c r="A632" s="1" t="str">
        <x:v>ORD-0628</x:v>
      </x:c>
      <x:c r="B632" s="4" t="d">
        <x:v>2025-10-08T00:00:00.000Z</x:v>
      </x:c>
      <x:c r="C632" s="1" t="str">
        <x:v>C-104</x:v>
      </x:c>
      <x:c r="D632" s="1" t="str">
        <x:v>South</x:v>
      </x:c>
      <x:c r="E632" s="1" t="str">
        <x:v>Fashion</x:v>
      </x:c>
      <x:c r="F632" s="1" t="str">
        <x:v>Sneakers</x:v>
      </x:c>
      <x:c r="G632" s="1" t="n">
        <x:v>3</x:v>
      </x:c>
      <x:c r="H632" s="2" t="n">
        <x:v>2400</x:v>
      </x:c>
      <x:c r="I632" s="3" t="n">
        <x:v>0.05</x:v>
      </x:c>
      <x:c r="J632" s="2" t="n">
        <x:v>1200</x:v>
      </x:c>
      <x:c r="K632" s="2" t="n">
        <x:v>50</x:v>
      </x:c>
      <x:c r="L632" s="2" t="n">
        <x:f>G632*H632</x:f>
        <x:v>7200</x:v>
      </x:c>
      <x:c r="M632" s="2" t="n">
        <x:f>ROUND(L632*(1-I632),2)</x:f>
        <x:v>6840</x:v>
      </x:c>
      <x:c r="N632" s="2" t="n">
        <x:f>G632*J632</x:f>
        <x:v>3600</x:v>
      </x:c>
      <x:c r="O632" s="2" t="n">
        <x:f>M632-N632-K632</x:f>
        <x:v>3190</x:v>
      </x:c>
      <x:c r="P632" s="1" t="str">
        <x:f>TEXT(B632,"yyyy-mm")</x:f>
        <x:v>2025-10</x:v>
      </x:c>
    </x:row>
    <x:row r="633">
      <x:c r="A633" s="1" t="str">
        <x:v>ORD-0629</x:v>
      </x:c>
      <x:c r="B633" s="4" t="d">
        <x:v>2025-11-22T00:00:00.000Z</x:v>
      </x:c>
      <x:c r="C633" s="1" t="str">
        <x:v>C-253</x:v>
      </x:c>
      <x:c r="D633" s="1" t="str">
        <x:v>North</x:v>
      </x:c>
      <x:c r="E633" s="1" t="str">
        <x:v>Electronics</x:v>
      </x:c>
      <x:c r="F633" s="1" t="str">
        <x:v>Keyboard</x:v>
      </x:c>
      <x:c r="G633" s="1" t="n">
        <x:v>1</x:v>
      </x:c>
      <x:c r="H633" s="2" t="n">
        <x:v>1500</x:v>
      </x:c>
      <x:c r="I633" s="3" t="n">
        <x:v>0</x:v>
      </x:c>
      <x:c r="J633" s="2" t="n">
        <x:v>900</x:v>
      </x:c>
      <x:c r="K633" s="2" t="n">
        <x:v>80</x:v>
      </x:c>
      <x:c r="L633" s="2" t="n">
        <x:f>G633*H633</x:f>
        <x:v>1500</x:v>
      </x:c>
      <x:c r="M633" s="2" t="n">
        <x:f>ROUND(L633*(1-I633),2)</x:f>
        <x:v>1500</x:v>
      </x:c>
      <x:c r="N633" s="2" t="n">
        <x:f>G633*J633</x:f>
        <x:v>900</x:v>
      </x:c>
      <x:c r="O633" s="2" t="n">
        <x:f>M633-N633-K633</x:f>
        <x:v>520</x:v>
      </x:c>
      <x:c r="P633" s="1" t="str">
        <x:f>TEXT(B633,"yyyy-mm")</x:f>
        <x:v>2025-11</x:v>
      </x:c>
    </x:row>
    <x:row r="634">
      <x:c r="A634" s="1" t="str">
        <x:v>ORD-0630</x:v>
      </x:c>
      <x:c r="B634" s="4" t="d">
        <x:v>2025-06-29T00:00:00.000Z</x:v>
      </x:c>
      <x:c r="C634" s="1" t="str">
        <x:v>C-295</x:v>
      </x:c>
      <x:c r="D634" s="1" t="str">
        <x:v>East</x:v>
      </x:c>
      <x:c r="E634" s="1" t="str">
        <x:v>Fashion</x:v>
      </x:c>
      <x:c r="F634" s="1" t="str">
        <x:v>Backpack</x:v>
      </x:c>
      <x:c r="G634" s="1" t="n">
        <x:v>4</x:v>
      </x:c>
      <x:c r="H634" s="2" t="n">
        <x:v>1300</x:v>
      </x:c>
      <x:c r="I634" s="3" t="n">
        <x:v>0.15</x:v>
      </x:c>
      <x:c r="J634" s="2" t="n">
        <x:v>650</x:v>
      </x:c>
      <x:c r="K634" s="2" t="n">
        <x:v>50</x:v>
      </x:c>
      <x:c r="L634" s="2" t="n">
        <x:f>G634*H634</x:f>
        <x:v>5200</x:v>
      </x:c>
      <x:c r="M634" s="2" t="n">
        <x:f>ROUND(L634*(1-I634),2)</x:f>
        <x:v>4420</x:v>
      </x:c>
      <x:c r="N634" s="2" t="n">
        <x:f>G634*J634</x:f>
        <x:v>2600</x:v>
      </x:c>
      <x:c r="O634" s="2" t="n">
        <x:f>M634-N634-K634</x:f>
        <x:v>1770</x:v>
      </x:c>
      <x:c r="P634" s="1" t="str">
        <x:f>TEXT(B634,"yyyy-mm")</x:f>
        <x:v>2025-06</x:v>
      </x:c>
    </x:row>
    <x:row r="635">
      <x:c r="A635" s="1" t="str">
        <x:v>ORD-0631</x:v>
      </x:c>
      <x:c r="B635" s="4" t="d">
        <x:v>2025-12-13T00:00:00.000Z</x:v>
      </x:c>
      <x:c r="C635" s="1" t="str">
        <x:v>C-114</x:v>
      </x:c>
      <x:c r="D635" s="1" t="str">
        <x:v>South</x:v>
      </x:c>
      <x:c r="E635" s="1" t="str">
        <x:v>Home</x:v>
      </x:c>
      <x:c r="F635" s="1" t="str">
        <x:v>Storage box</x:v>
      </x:c>
      <x:c r="G635" s="1" t="n">
        <x:v>1</x:v>
      </x:c>
      <x:c r="H635" s="2" t="n">
        <x:v>800</x:v>
      </x:c>
      <x:c r="I635" s="3" t="n">
        <x:v>0.1</x:v>
      </x:c>
      <x:c r="J635" s="2" t="n">
        <x:v>420</x:v>
      </x:c>
      <x:c r="K635" s="2" t="n">
        <x:v>120</x:v>
      </x:c>
      <x:c r="L635" s="2" t="n">
        <x:f>G635*H635</x:f>
        <x:v>800</x:v>
      </x:c>
      <x:c r="M635" s="2" t="n">
        <x:f>ROUND(L635*(1-I635),2)</x:f>
        <x:v>720</x:v>
      </x:c>
      <x:c r="N635" s="2" t="n">
        <x:f>G635*J635</x:f>
        <x:v>420</x:v>
      </x:c>
      <x:c r="O635" s="2" t="n">
        <x:f>M635-N635-K635</x:f>
        <x:v>180</x:v>
      </x:c>
      <x:c r="P635" s="1" t="str">
        <x:f>TEXT(B635,"yyyy-mm")</x:f>
        <x:v>2025-12</x:v>
      </x:c>
    </x:row>
    <x:row r="636">
      <x:c r="A636" s="1" t="str">
        <x:v>ORD-0632</x:v>
      </x:c>
      <x:c r="B636" s="4" t="d">
        <x:v>2025-11-02T00:00:00.000Z</x:v>
      </x:c>
      <x:c r="C636" s="1" t="str">
        <x:v>C-258</x:v>
      </x:c>
      <x:c r="D636" s="1" t="str">
        <x:v>East</x:v>
      </x:c>
      <x:c r="E636" s="1" t="str">
        <x:v>Home</x:v>
      </x:c>
      <x:c r="F636" s="1" t="str">
        <x:v>Desk lamp</x:v>
      </x:c>
      <x:c r="G636" s="1" t="n">
        <x:v>4</x:v>
      </x:c>
      <x:c r="H636" s="2" t="n">
        <x:v>1100</x:v>
      </x:c>
      <x:c r="I636" s="3" t="n">
        <x:v>0.25</x:v>
      </x:c>
      <x:c r="J636" s="2" t="n">
        <x:v>650</x:v>
      </x:c>
      <x:c r="K636" s="2" t="n">
        <x:v>120</x:v>
      </x:c>
      <x:c r="L636" s="2" t="n">
        <x:f>G636*H636</x:f>
        <x:v>4400</x:v>
      </x:c>
      <x:c r="M636" s="2" t="n">
        <x:f>ROUND(L636*(1-I636),2)</x:f>
        <x:v>3300</x:v>
      </x:c>
      <x:c r="N636" s="2" t="n">
        <x:f>G636*J636</x:f>
        <x:v>2600</x:v>
      </x:c>
      <x:c r="O636" s="2" t="n">
        <x:f>M636-N636-K636</x:f>
        <x:v>580</x:v>
      </x:c>
      <x:c r="P636" s="1" t="str">
        <x:f>TEXT(B636,"yyyy-mm")</x:f>
        <x:v>2025-11</x:v>
      </x:c>
    </x:row>
    <x:row r="637">
      <x:c r="A637" s="1" t="str">
        <x:v>ORD-0633</x:v>
      </x:c>
      <x:c r="B637" s="4" t="d">
        <x:v>2025-11-23T00:00:00.000Z</x:v>
      </x:c>
      <x:c r="C637" s="1" t="str">
        <x:v>C-266</x:v>
      </x:c>
      <x:c r="D637" s="1" t="str">
        <x:v>West</x:v>
      </x:c>
      <x:c r="E637" s="1" t="str">
        <x:v>Home</x:v>
      </x:c>
      <x:c r="F637" s="1" t="str">
        <x:v>Desk lamp</x:v>
      </x:c>
      <x:c r="G637" s="1" t="n">
        <x:v>3</x:v>
      </x:c>
      <x:c r="H637" s="2" t="n">
        <x:v>1100</x:v>
      </x:c>
      <x:c r="I637" s="3" t="n">
        <x:v>0</x:v>
      </x:c>
      <x:c r="J637" s="2" t="n">
        <x:v>650</x:v>
      </x:c>
      <x:c r="K637" s="2" t="n">
        <x:v>120</x:v>
      </x:c>
      <x:c r="L637" s="2" t="n">
        <x:f>G637*H637</x:f>
        <x:v>3300</x:v>
      </x:c>
      <x:c r="M637" s="2" t="n">
        <x:f>ROUND(L637*(1-I637),2)</x:f>
        <x:v>3300</x:v>
      </x:c>
      <x:c r="N637" s="2" t="n">
        <x:f>G637*J637</x:f>
        <x:v>1950</x:v>
      </x:c>
      <x:c r="O637" s="2" t="n">
        <x:f>M637-N637-K637</x:f>
        <x:v>1230</x:v>
      </x:c>
      <x:c r="P637" s="1" t="str">
        <x:f>TEXT(B637,"yyyy-mm")</x:f>
        <x:v>2025-11</x:v>
      </x:c>
    </x:row>
    <x:row r="638">
      <x:c r="A638" s="1" t="str">
        <x:v>ORD-0634</x:v>
      </x:c>
      <x:c r="B638" s="4" t="d">
        <x:v>2025-01-19T00:00:00.000Z</x:v>
      </x:c>
      <x:c r="C638" s="1" t="str">
        <x:v>C-052</x:v>
      </x:c>
      <x:c r="D638" s="1" t="str">
        <x:v>East</x:v>
      </x:c>
      <x:c r="E638" s="1" t="str">
        <x:v>Fashion</x:v>
      </x:c>
      <x:c r="F638" s="1" t="str">
        <x:v>T-shirt</x:v>
      </x:c>
      <x:c r="G638" s="1" t="n">
        <x:v>3</x:v>
      </x:c>
      <x:c r="H638" s="2" t="n">
        <x:v>700</x:v>
      </x:c>
      <x:c r="I638" s="3" t="n">
        <x:v>0.15</x:v>
      </x:c>
      <x:c r="J638" s="2" t="n">
        <x:v>300</x:v>
      </x:c>
      <x:c r="K638" s="2" t="n">
        <x:v>120</x:v>
      </x:c>
      <x:c r="L638" s="2" t="n">
        <x:f>G638*H638</x:f>
        <x:v>2100</x:v>
      </x:c>
      <x:c r="M638" s="2" t="n">
        <x:f>ROUND(L638*(1-I638),2)</x:f>
        <x:v>1785</x:v>
      </x:c>
      <x:c r="N638" s="2" t="n">
        <x:f>G638*J638</x:f>
        <x:v>900</x:v>
      </x:c>
      <x:c r="O638" s="2" t="n">
        <x:f>M638-N638-K638</x:f>
        <x:v>765</x:v>
      </x:c>
      <x:c r="P638" s="1" t="str">
        <x:f>TEXT(B638,"yyyy-mm")</x:f>
        <x:v>2025-01</x:v>
      </x:c>
    </x:row>
    <x:row r="639">
      <x:c r="A639" s="1" t="str">
        <x:v>ORD-0635</x:v>
      </x:c>
      <x:c r="B639" s="4" t="d">
        <x:v>2025-11-09T00:00:00.000Z</x:v>
      </x:c>
      <x:c r="C639" s="1" t="str">
        <x:v>C-122</x:v>
      </x:c>
      <x:c r="D639" s="1" t="str">
        <x:v>East</x:v>
      </x:c>
      <x:c r="E639" s="1" t="str">
        <x:v>Electronics</x:v>
      </x:c>
      <x:c r="F639" s="1" t="str">
        <x:v>Smartwatch</x:v>
      </x:c>
      <x:c r="G639" s="1" t="n">
        <x:v>4</x:v>
      </x:c>
      <x:c r="H639" s="2" t="n">
        <x:v>4200</x:v>
      </x:c>
      <x:c r="I639" s="3" t="n">
        <x:v>0.25</x:v>
      </x:c>
      <x:c r="J639" s="2" t="n">
        <x:v>3000</x:v>
      </x:c>
      <x:c r="K639" s="2" t="n">
        <x:v>120</x:v>
      </x:c>
      <x:c r="L639" s="2" t="n">
        <x:f>G639*H639</x:f>
        <x:v>16800</x:v>
      </x:c>
      <x:c r="M639" s="2" t="n">
        <x:f>ROUND(L639*(1-I639),2)</x:f>
        <x:v>12600</x:v>
      </x:c>
      <x:c r="N639" s="2" t="n">
        <x:f>G639*J639</x:f>
        <x:v>12000</x:v>
      </x:c>
      <x:c r="O639" s="2" t="n">
        <x:f>M639-N639-K639</x:f>
        <x:v>480</x:v>
      </x:c>
      <x:c r="P639" s="1" t="str">
        <x:f>TEXT(B639,"yyyy-mm")</x:f>
        <x:v>2025-11</x:v>
      </x:c>
    </x:row>
    <x:row r="640">
      <x:c r="A640" s="1" t="str">
        <x:v>ORD-0636</x:v>
      </x:c>
      <x:c r="B640" s="4" t="d">
        <x:v>2025-06-14T00:00:00.000Z</x:v>
      </x:c>
      <x:c r="C640" s="1" t="str">
        <x:v>C-108</x:v>
      </x:c>
      <x:c r="D640" s="1" t="str">
        <x:v>West</x:v>
      </x:c>
      <x:c r="E640" s="1" t="str">
        <x:v>Electronics</x:v>
      </x:c>
      <x:c r="F640" s="1" t="str">
        <x:v>Smartwatch</x:v>
      </x:c>
      <x:c r="G640" s="1" t="n">
        <x:v>3</x:v>
      </x:c>
      <x:c r="H640" s="2" t="n">
        <x:v>4200</x:v>
      </x:c>
      <x:c r="I640" s="3" t="n">
        <x:v>0.15</x:v>
      </x:c>
      <x:c r="J640" s="2" t="n">
        <x:v>3000</x:v>
      </x:c>
      <x:c r="K640" s="2" t="n">
        <x:v>80</x:v>
      </x:c>
      <x:c r="L640" s="2" t="n">
        <x:f>G640*H640</x:f>
        <x:v>12600</x:v>
      </x:c>
      <x:c r="M640" s="2" t="n">
        <x:f>ROUND(L640*(1-I640),2)</x:f>
        <x:v>10710</x:v>
      </x:c>
      <x:c r="N640" s="2" t="n">
        <x:f>G640*J640</x:f>
        <x:v>9000</x:v>
      </x:c>
      <x:c r="O640" s="2" t="n">
        <x:f>M640-N640-K640</x:f>
        <x:v>1630</x:v>
      </x:c>
      <x:c r="P640" s="1" t="str">
        <x:f>TEXT(B640,"yyyy-mm")</x:f>
        <x:v>2025-06</x:v>
      </x:c>
    </x:row>
    <x:row r="641">
      <x:c r="A641" s="1" t="str">
        <x:v>ORD-0637</x:v>
      </x:c>
      <x:c r="B641" s="4" t="d">
        <x:v>2025-11-06T00:00:00.000Z</x:v>
      </x:c>
      <x:c r="C641" s="1" t="str">
        <x:v>C-293</x:v>
      </x:c>
      <x:c r="D641" s="1" t="str">
        <x:v>South</x:v>
      </x:c>
      <x:c r="E641" s="1" t="str">
        <x:v>Fashion</x:v>
      </x:c>
      <x:c r="F641" s="1" t="str">
        <x:v>Sneakers</x:v>
      </x:c>
      <x:c r="G641" s="1" t="n">
        <x:v>2</x:v>
      </x:c>
      <x:c r="H641" s="2" t="n">
        <x:v>2400</x:v>
      </x:c>
      <x:c r="I641" s="3" t="n">
        <x:v>0.15</x:v>
      </x:c>
      <x:c r="J641" s="2" t="n">
        <x:v>1200</x:v>
      </x:c>
      <x:c r="K641" s="2" t="n">
        <x:v>50</x:v>
      </x:c>
      <x:c r="L641" s="2" t="n">
        <x:f>G641*H641</x:f>
        <x:v>4800</x:v>
      </x:c>
      <x:c r="M641" s="2" t="n">
        <x:f>ROUND(L641*(1-I641),2)</x:f>
        <x:v>4080</x:v>
      </x:c>
      <x:c r="N641" s="2" t="n">
        <x:f>G641*J641</x:f>
        <x:v>2400</x:v>
      </x:c>
      <x:c r="O641" s="2" t="n">
        <x:f>M641-N641-K641</x:f>
        <x:v>1630</x:v>
      </x:c>
      <x:c r="P641" s="1" t="str">
        <x:f>TEXT(B641,"yyyy-mm")</x:f>
        <x:v>2025-11</x:v>
      </x:c>
    </x:row>
    <x:row r="642">
      <x:c r="A642" s="1" t="str">
        <x:v>ORD-0638</x:v>
      </x:c>
      <x:c r="B642" s="4" t="d">
        <x:v>2025-10-14T00:00:00.000Z</x:v>
      </x:c>
      <x:c r="C642" s="1" t="str">
        <x:v>C-196</x:v>
      </x:c>
      <x:c r="D642" s="1" t="str">
        <x:v>South</x:v>
      </x:c>
      <x:c r="E642" s="1" t="str">
        <x:v>Fashion</x:v>
      </x:c>
      <x:c r="F642" s="1" t="str">
        <x:v>T-shirt</x:v>
      </x:c>
      <x:c r="G642" s="1" t="n">
        <x:v>2</x:v>
      </x:c>
      <x:c r="H642" s="2" t="n">
        <x:v>700</x:v>
      </x:c>
      <x:c r="I642" s="3" t="n">
        <x:v>0.25</x:v>
      </x:c>
      <x:c r="J642" s="2" t="n">
        <x:v>300</x:v>
      </x:c>
      <x:c r="K642" s="2" t="n">
        <x:v>120</x:v>
      </x:c>
      <x:c r="L642" s="2" t="n">
        <x:f>G642*H642</x:f>
        <x:v>1400</x:v>
      </x:c>
      <x:c r="M642" s="2" t="n">
        <x:f>ROUND(L642*(1-I642),2)</x:f>
        <x:v>1050</x:v>
      </x:c>
      <x:c r="N642" s="2" t="n">
        <x:f>G642*J642</x:f>
        <x:v>600</x:v>
      </x:c>
      <x:c r="O642" s="2" t="n">
        <x:f>M642-N642-K642</x:f>
        <x:v>330</x:v>
      </x:c>
      <x:c r="P642" s="1" t="str">
        <x:f>TEXT(B642,"yyyy-mm")</x:f>
        <x:v>2025-10</x:v>
      </x:c>
    </x:row>
    <x:row r="643">
      <x:c r="A643" s="1" t="str">
        <x:v>ORD-0639</x:v>
      </x:c>
      <x:c r="B643" s="4" t="d">
        <x:v>2025-03-14T00:00:00.000Z</x:v>
      </x:c>
      <x:c r="C643" s="1" t="str">
        <x:v>C-256</x:v>
      </x:c>
      <x:c r="D643" s="1" t="str">
        <x:v>South</x:v>
      </x:c>
      <x:c r="E643" s="1" t="str">
        <x:v>Electronics</x:v>
      </x:c>
      <x:c r="F643" s="1" t="str">
        <x:v>Headphones</x:v>
      </x:c>
      <x:c r="G643" s="1" t="n">
        <x:v>3</x:v>
      </x:c>
      <x:c r="H643" s="2" t="n">
        <x:v>2200</x:v>
      </x:c>
      <x:c r="I643" s="3" t="n">
        <x:v>0.05</x:v>
      </x:c>
      <x:c r="J643" s="2" t="n">
        <x:v>1450</x:v>
      </x:c>
      <x:c r="K643" s="2" t="n">
        <x:v>80</x:v>
      </x:c>
      <x:c r="L643" s="2" t="n">
        <x:f>G643*H643</x:f>
        <x:v>6600</x:v>
      </x:c>
      <x:c r="M643" s="2" t="n">
        <x:f>ROUND(L643*(1-I643),2)</x:f>
        <x:v>6270</x:v>
      </x:c>
      <x:c r="N643" s="2" t="n">
        <x:f>G643*J643</x:f>
        <x:v>4350</x:v>
      </x:c>
      <x:c r="O643" s="2" t="n">
        <x:f>M643-N643-K643</x:f>
        <x:v>1840</x:v>
      </x:c>
      <x:c r="P643" s="1" t="str">
        <x:f>TEXT(B643,"yyyy-mm")</x:f>
        <x:v>2025-03</x:v>
      </x:c>
    </x:row>
    <x:row r="644">
      <x:c r="A644" s="1" t="str">
        <x:v>ORD-0640</x:v>
      </x:c>
      <x:c r="B644" s="4" t="d">
        <x:v>2025-05-02T00:00:00.000Z</x:v>
      </x:c>
      <x:c r="C644" s="1" t="str">
        <x:v>C-204</x:v>
      </x:c>
      <x:c r="D644" s="1" t="str">
        <x:v>North</x:v>
      </x:c>
      <x:c r="E644" s="1" t="str">
        <x:v>Home</x:v>
      </x:c>
      <x:c r="F644" s="1" t="str">
        <x:v>Storage box</x:v>
      </x:c>
      <x:c r="G644" s="1" t="n">
        <x:v>2</x:v>
      </x:c>
      <x:c r="H644" s="2" t="n">
        <x:v>800</x:v>
      </x:c>
      <x:c r="I644" s="3" t="n">
        <x:v>0.25</x:v>
      </x:c>
      <x:c r="J644" s="2" t="n">
        <x:v>420</x:v>
      </x:c>
      <x:c r="K644" s="2" t="n">
        <x:v>50</x:v>
      </x:c>
      <x:c r="L644" s="2" t="n">
        <x:f>G644*H644</x:f>
        <x:v>1600</x:v>
      </x:c>
      <x:c r="M644" s="2" t="n">
        <x:f>ROUND(L644*(1-I644),2)</x:f>
        <x:v>1200</x:v>
      </x:c>
      <x:c r="N644" s="2" t="n">
        <x:f>G644*J644</x:f>
        <x:v>840</x:v>
      </x:c>
      <x:c r="O644" s="2" t="n">
        <x:f>M644-N644-K644</x:f>
        <x:v>310</x:v>
      </x:c>
      <x:c r="P644" s="1" t="str">
        <x:f>TEXT(B644,"yyyy-mm")</x:f>
        <x:v>2025-05</x:v>
      </x:c>
    </x:row>
    <x:row r="645">
      <x:c r="A645" s="1" t="str">
        <x:v>ORD-0641</x:v>
      </x:c>
      <x:c r="B645" s="4" t="d">
        <x:v>2025-04-27T00:00:00.000Z</x:v>
      </x:c>
      <x:c r="C645" s="1" t="str">
        <x:v>C-050</x:v>
      </x:c>
      <x:c r="D645" s="1" t="str">
        <x:v>West</x:v>
      </x:c>
      <x:c r="E645" s="1" t="str">
        <x:v>Fashion</x:v>
      </x:c>
      <x:c r="F645" s="1" t="str">
        <x:v>Sneakers</x:v>
      </x:c>
      <x:c r="G645" s="1" t="n">
        <x:v>3</x:v>
      </x:c>
      <x:c r="H645" s="2" t="n">
        <x:v>2400</x:v>
      </x:c>
      <x:c r="I645" s="3" t="n">
        <x:v>0.15</x:v>
      </x:c>
      <x:c r="J645" s="2" t="n">
        <x:v>1200</x:v>
      </x:c>
      <x:c r="K645" s="2" t="n">
        <x:v>80</x:v>
      </x:c>
      <x:c r="L645" s="2" t="n">
        <x:f>G645*H645</x:f>
        <x:v>7200</x:v>
      </x:c>
      <x:c r="M645" s="2" t="n">
        <x:f>ROUND(L645*(1-I645),2)</x:f>
        <x:v>6120</x:v>
      </x:c>
      <x:c r="N645" s="2" t="n">
        <x:f>G645*J645</x:f>
        <x:v>3600</x:v>
      </x:c>
      <x:c r="O645" s="2" t="n">
        <x:f>M645-N645-K645</x:f>
        <x:v>2440</x:v>
      </x:c>
      <x:c r="P645" s="1" t="str">
        <x:f>TEXT(B645,"yyyy-mm")</x:f>
        <x:v>2025-04</x:v>
      </x:c>
    </x:row>
    <x:row r="646">
      <x:c r="A646" s="1" t="str">
        <x:v>ORD-0642</x:v>
      </x:c>
      <x:c r="B646" s="4" t="d">
        <x:v>2025-06-30T00:00:00.000Z</x:v>
      </x:c>
      <x:c r="C646" s="1" t="str">
        <x:v>C-132</x:v>
      </x:c>
      <x:c r="D646" s="1" t="str">
        <x:v>East</x:v>
      </x:c>
      <x:c r="E646" s="1" t="str">
        <x:v>Home</x:v>
      </x:c>
      <x:c r="F646" s="1" t="str">
        <x:v>Storage box</x:v>
      </x:c>
      <x:c r="G646" s="1" t="n">
        <x:v>1</x:v>
      </x:c>
      <x:c r="H646" s="2" t="n">
        <x:v>800</x:v>
      </x:c>
      <x:c r="I646" s="3" t="n">
        <x:v>0.25</x:v>
      </x:c>
      <x:c r="J646" s="2" t="n">
        <x:v>420</x:v>
      </x:c>
      <x:c r="K646" s="2" t="n">
        <x:v>80</x:v>
      </x:c>
      <x:c r="L646" s="2" t="n">
        <x:f>G646*H646</x:f>
        <x:v>800</x:v>
      </x:c>
      <x:c r="M646" s="2" t="n">
        <x:f>ROUND(L646*(1-I646),2)</x:f>
        <x:v>600</x:v>
      </x:c>
      <x:c r="N646" s="2" t="n">
        <x:f>G646*J646</x:f>
        <x:v>420</x:v>
      </x:c>
      <x:c r="O646" s="2" t="n">
        <x:f>M646-N646-K646</x:f>
        <x:v>100</x:v>
      </x:c>
      <x:c r="P646" s="1" t="str">
        <x:f>TEXT(B646,"yyyy-mm")</x:f>
        <x:v>2025-06</x:v>
      </x:c>
    </x:row>
    <x:row r="647">
      <x:c r="A647" s="1" t="str">
        <x:v>ORD-0643</x:v>
      </x:c>
      <x:c r="B647" s="4" t="d">
        <x:v>2025-02-19T00:00:00.000Z</x:v>
      </x:c>
      <x:c r="C647" s="1" t="str">
        <x:v>C-276</x:v>
      </x:c>
      <x:c r="D647" s="1" t="str">
        <x:v>South</x:v>
      </x:c>
      <x:c r="E647" s="1" t="str">
        <x:v>Fashion</x:v>
      </x:c>
      <x:c r="F647" s="1" t="str">
        <x:v>T-shirt</x:v>
      </x:c>
      <x:c r="G647" s="1" t="n">
        <x:v>3</x:v>
      </x:c>
      <x:c r="H647" s="2" t="n">
        <x:v>700</x:v>
      </x:c>
      <x:c r="I647" s="3" t="n">
        <x:v>0.25</x:v>
      </x:c>
      <x:c r="J647" s="2" t="n">
        <x:v>300</x:v>
      </x:c>
      <x:c r="K647" s="2" t="n">
        <x:v>80</x:v>
      </x:c>
      <x:c r="L647" s="2" t="n">
        <x:f>G647*H647</x:f>
        <x:v>2100</x:v>
      </x:c>
      <x:c r="M647" s="2" t="n">
        <x:f>ROUND(L647*(1-I647),2)</x:f>
        <x:v>1575</x:v>
      </x:c>
      <x:c r="N647" s="2" t="n">
        <x:f>G647*J647</x:f>
        <x:v>900</x:v>
      </x:c>
      <x:c r="O647" s="2" t="n">
        <x:f>M647-N647-K647</x:f>
        <x:v>595</x:v>
      </x:c>
      <x:c r="P647" s="1" t="str">
        <x:f>TEXT(B647,"yyyy-mm")</x:f>
        <x:v>2025-02</x:v>
      </x:c>
    </x:row>
    <x:row r="648">
      <x:c r="A648" s="1" t="str">
        <x:v>ORD-0644</x:v>
      </x:c>
      <x:c r="B648" s="4" t="d">
        <x:v>2025-05-25T00:00:00.000Z</x:v>
      </x:c>
      <x:c r="C648" s="1" t="str">
        <x:v>C-229</x:v>
      </x:c>
      <x:c r="D648" s="1" t="str">
        <x:v>North</x:v>
      </x:c>
      <x:c r="E648" s="1" t="str">
        <x:v>Home</x:v>
      </x:c>
      <x:c r="F648" s="1" t="str">
        <x:v>Storage box</x:v>
      </x:c>
      <x:c r="G648" s="1" t="n">
        <x:v>4</x:v>
      </x:c>
      <x:c r="H648" s="2" t="n">
        <x:v>800</x:v>
      </x:c>
      <x:c r="I648" s="3" t="n">
        <x:v>0.15</x:v>
      </x:c>
      <x:c r="J648" s="2" t="n">
        <x:v>420</x:v>
      </x:c>
      <x:c r="K648" s="2" t="n">
        <x:v>120</x:v>
      </x:c>
      <x:c r="L648" s="2" t="n">
        <x:f>G648*H648</x:f>
        <x:v>3200</x:v>
      </x:c>
      <x:c r="M648" s="2" t="n">
        <x:f>ROUND(L648*(1-I648),2)</x:f>
        <x:v>2720</x:v>
      </x:c>
      <x:c r="N648" s="2" t="n">
        <x:f>G648*J648</x:f>
        <x:v>1680</x:v>
      </x:c>
      <x:c r="O648" s="2" t="n">
        <x:f>M648-N648-K648</x:f>
        <x:v>920</x:v>
      </x:c>
      <x:c r="P648" s="1" t="str">
        <x:f>TEXT(B648,"yyyy-mm")</x:f>
        <x:v>2025-05</x:v>
      </x:c>
    </x:row>
    <x:row r="649">
      <x:c r="A649" s="1" t="str">
        <x:v>ORD-0645</x:v>
      </x:c>
      <x:c r="B649" s="4" t="d">
        <x:v>2025-05-21T00:00:00.000Z</x:v>
      </x:c>
      <x:c r="C649" s="1" t="str">
        <x:v>C-173</x:v>
      </x:c>
      <x:c r="D649" s="1" t="str">
        <x:v>West</x:v>
      </x:c>
      <x:c r="E649" s="1" t="str">
        <x:v>Electronics</x:v>
      </x:c>
      <x:c r="F649" s="1" t="str">
        <x:v>Smartwatch</x:v>
      </x:c>
      <x:c r="G649" s="1" t="n">
        <x:v>4</x:v>
      </x:c>
      <x:c r="H649" s="2" t="n">
        <x:v>4200</x:v>
      </x:c>
      <x:c r="I649" s="3" t="n">
        <x:v>0.05</x:v>
      </x:c>
      <x:c r="J649" s="2" t="n">
        <x:v>3000</x:v>
      </x:c>
      <x:c r="K649" s="2" t="n">
        <x:v>50</x:v>
      </x:c>
      <x:c r="L649" s="2" t="n">
        <x:f>G649*H649</x:f>
        <x:v>16800</x:v>
      </x:c>
      <x:c r="M649" s="2" t="n">
        <x:f>ROUND(L649*(1-I649),2)</x:f>
        <x:v>15960</x:v>
      </x:c>
      <x:c r="N649" s="2" t="n">
        <x:f>G649*J649</x:f>
        <x:v>12000</x:v>
      </x:c>
      <x:c r="O649" s="2" t="n">
        <x:f>M649-N649-K649</x:f>
        <x:v>3910</x:v>
      </x:c>
      <x:c r="P649" s="1" t="str">
        <x:f>TEXT(B649,"yyyy-mm")</x:f>
        <x:v>2025-05</x:v>
      </x:c>
    </x:row>
    <x:row r="650">
      <x:c r="A650" s="1" t="str">
        <x:v>ORD-0646</x:v>
      </x:c>
      <x:c r="B650" s="4" t="d">
        <x:v>2025-02-11T00:00:00.000Z</x:v>
      </x:c>
      <x:c r="C650" s="1" t="str">
        <x:v>C-163</x:v>
      </x:c>
      <x:c r="D650" s="1" t="str">
        <x:v>East</x:v>
      </x:c>
      <x:c r="E650" s="1" t="str">
        <x:v>Fashion</x:v>
      </x:c>
      <x:c r="F650" s="1" t="str">
        <x:v>Backpack</x:v>
      </x:c>
      <x:c r="G650" s="1" t="n">
        <x:v>3</x:v>
      </x:c>
      <x:c r="H650" s="2" t="n">
        <x:v>1300</x:v>
      </x:c>
      <x:c r="I650" s="3" t="n">
        <x:v>0.05</x:v>
      </x:c>
      <x:c r="J650" s="2" t="n">
        <x:v>650</x:v>
      </x:c>
      <x:c r="K650" s="2" t="n">
        <x:v>120</x:v>
      </x:c>
      <x:c r="L650" s="2" t="n">
        <x:f>G650*H650</x:f>
        <x:v>3900</x:v>
      </x:c>
      <x:c r="M650" s="2" t="n">
        <x:f>ROUND(L650*(1-I650),2)</x:f>
        <x:v>3705</x:v>
      </x:c>
      <x:c r="N650" s="2" t="n">
        <x:f>G650*J650</x:f>
        <x:v>1950</x:v>
      </x:c>
      <x:c r="O650" s="2" t="n">
        <x:f>M650-N650-K650</x:f>
        <x:v>1635</x:v>
      </x:c>
      <x:c r="P650" s="1" t="str">
        <x:f>TEXT(B650,"yyyy-mm")</x:f>
        <x:v>2025-02</x:v>
      </x:c>
    </x:row>
    <x:row r="651">
      <x:c r="A651" s="1" t="str">
        <x:v>ORD-0647</x:v>
      </x:c>
      <x:c r="B651" s="4" t="d">
        <x:v>2025-09-25T00:00:00.000Z</x:v>
      </x:c>
      <x:c r="C651" s="1" t="str">
        <x:v>C-186</x:v>
      </x:c>
      <x:c r="D651" s="1" t="str">
        <x:v>West</x:v>
      </x:c>
      <x:c r="E651" s="1" t="str">
        <x:v>Fashion</x:v>
      </x:c>
      <x:c r="F651" s="1" t="str">
        <x:v>Sneakers</x:v>
      </x:c>
      <x:c r="G651" s="1" t="n">
        <x:v>4</x:v>
      </x:c>
      <x:c r="H651" s="2" t="n">
        <x:v>2400</x:v>
      </x:c>
      <x:c r="I651" s="3" t="n">
        <x:v>0.15</x:v>
      </x:c>
      <x:c r="J651" s="2" t="n">
        <x:v>1200</x:v>
      </x:c>
      <x:c r="K651" s="2" t="n">
        <x:v>50</x:v>
      </x:c>
      <x:c r="L651" s="2" t="n">
        <x:f>G651*H651</x:f>
        <x:v>9600</x:v>
      </x:c>
      <x:c r="M651" s="2" t="n">
        <x:f>ROUND(L651*(1-I651),2)</x:f>
        <x:v>8160</x:v>
      </x:c>
      <x:c r="N651" s="2" t="n">
        <x:f>G651*J651</x:f>
        <x:v>4800</x:v>
      </x:c>
      <x:c r="O651" s="2" t="n">
        <x:f>M651-N651-K651</x:f>
        <x:v>3310</x:v>
      </x:c>
      <x:c r="P651" s="1" t="str">
        <x:f>TEXT(B651,"yyyy-mm")</x:f>
        <x:v>2025-09</x:v>
      </x:c>
    </x:row>
    <x:row r="652">
      <x:c r="A652" s="1" t="str">
        <x:v>ORD-0648</x:v>
      </x:c>
      <x:c r="B652" s="4" t="d">
        <x:v>2025-03-24T00:00:00.000Z</x:v>
      </x:c>
      <x:c r="C652" s="1" t="str">
        <x:v>C-121</x:v>
      </x:c>
      <x:c r="D652" s="1" t="str">
        <x:v>East</x:v>
      </x:c>
      <x:c r="E652" s="1" t="str">
        <x:v>Electronics</x:v>
      </x:c>
      <x:c r="F652" s="1" t="str">
        <x:v>Headphones</x:v>
      </x:c>
      <x:c r="G652" s="1" t="n">
        <x:v>1</x:v>
      </x:c>
      <x:c r="H652" s="2" t="n">
        <x:v>2200</x:v>
      </x:c>
      <x:c r="I652" s="3" t="n">
        <x:v>0.05</x:v>
      </x:c>
      <x:c r="J652" s="2" t="n">
        <x:v>1450</x:v>
      </x:c>
      <x:c r="K652" s="2" t="n">
        <x:v>50</x:v>
      </x:c>
      <x:c r="L652" s="2" t="n">
        <x:f>G652*H652</x:f>
        <x:v>2200</x:v>
      </x:c>
      <x:c r="M652" s="2" t="n">
        <x:f>ROUND(L652*(1-I652),2)</x:f>
        <x:v>2090</x:v>
      </x:c>
      <x:c r="N652" s="2" t="n">
        <x:f>G652*J652</x:f>
        <x:v>1450</x:v>
      </x:c>
      <x:c r="O652" s="2" t="n">
        <x:f>M652-N652-K652</x:f>
        <x:v>590</x:v>
      </x:c>
      <x:c r="P652" s="1" t="str">
        <x:f>TEXT(B652,"yyyy-mm")</x:f>
        <x:v>2025-03</x:v>
      </x:c>
    </x:row>
    <x:row r="653">
      <x:c r="A653" s="1" t="str">
        <x:v>ORD-0649</x:v>
      </x:c>
      <x:c r="B653" s="4" t="d">
        <x:v>2025-03-03T00:00:00.000Z</x:v>
      </x:c>
      <x:c r="C653" s="1" t="str">
        <x:v>C-243</x:v>
      </x:c>
      <x:c r="D653" s="1" t="str">
        <x:v>North</x:v>
      </x:c>
      <x:c r="E653" s="1" t="str">
        <x:v>Electronics</x:v>
      </x:c>
      <x:c r="F653" s="1" t="str">
        <x:v>Keyboard</x:v>
      </x:c>
      <x:c r="G653" s="1" t="n">
        <x:v>1</x:v>
      </x:c>
      <x:c r="H653" s="2" t="n">
        <x:v>1500</x:v>
      </x:c>
      <x:c r="I653" s="3" t="n">
        <x:v>0</x:v>
      </x:c>
      <x:c r="J653" s="2" t="n">
        <x:v>900</x:v>
      </x:c>
      <x:c r="K653" s="2" t="n">
        <x:v>80</x:v>
      </x:c>
      <x:c r="L653" s="2" t="n">
        <x:f>G653*H653</x:f>
        <x:v>1500</x:v>
      </x:c>
      <x:c r="M653" s="2" t="n">
        <x:f>ROUND(L653*(1-I653),2)</x:f>
        <x:v>1500</x:v>
      </x:c>
      <x:c r="N653" s="2" t="n">
        <x:f>G653*J653</x:f>
        <x:v>900</x:v>
      </x:c>
      <x:c r="O653" s="2" t="n">
        <x:f>M653-N653-K653</x:f>
        <x:v>520</x:v>
      </x:c>
      <x:c r="P653" s="1" t="str">
        <x:f>TEXT(B653,"yyyy-mm")</x:f>
        <x:v>2025-03</x:v>
      </x:c>
    </x:row>
    <x:row r="654">
      <x:c r="A654" s="1" t="str">
        <x:v>ORD-0650</x:v>
      </x:c>
      <x:c r="B654" s="4" t="d">
        <x:v>2025-08-09T00:00:00.000Z</x:v>
      </x:c>
      <x:c r="C654" s="1" t="str">
        <x:v>C-080</x:v>
      </x:c>
      <x:c r="D654" s="1" t="str">
        <x:v>North</x:v>
      </x:c>
      <x:c r="E654" s="1" t="str">
        <x:v>Electronics</x:v>
      </x:c>
      <x:c r="F654" s="1" t="str">
        <x:v>Keyboard</x:v>
      </x:c>
      <x:c r="G654" s="1" t="n">
        <x:v>4</x:v>
      </x:c>
      <x:c r="H654" s="2" t="n">
        <x:v>1500</x:v>
      </x:c>
      <x:c r="I654" s="3" t="n">
        <x:v>0</x:v>
      </x:c>
      <x:c r="J654" s="2" t="n">
        <x:v>900</x:v>
      </x:c>
      <x:c r="K654" s="2" t="n">
        <x:v>80</x:v>
      </x:c>
      <x:c r="L654" s="2" t="n">
        <x:f>G654*H654</x:f>
        <x:v>6000</x:v>
      </x:c>
      <x:c r="M654" s="2" t="n">
        <x:f>ROUND(L654*(1-I654),2)</x:f>
        <x:v>6000</x:v>
      </x:c>
      <x:c r="N654" s="2" t="n">
        <x:f>G654*J654</x:f>
        <x:v>3600</x:v>
      </x:c>
      <x:c r="O654" s="2" t="n">
        <x:f>M654-N654-K654</x:f>
        <x:v>2320</x:v>
      </x:c>
      <x:c r="P654" s="1" t="str">
        <x:f>TEXT(B654,"yyyy-mm")</x:f>
        <x:v>2025-08</x:v>
      </x:c>
    </x:row>
    <x:row r="655">
      <x:c r="A655" s="1" t="str">
        <x:v>ORD-0651</x:v>
      </x:c>
      <x:c r="B655" s="4" t="d">
        <x:v>2025-04-21T00:00:00.000Z</x:v>
      </x:c>
      <x:c r="C655" s="1" t="str">
        <x:v>C-065</x:v>
      </x:c>
      <x:c r="D655" s="1" t="str">
        <x:v>South</x:v>
      </x:c>
      <x:c r="E655" s="1" t="str">
        <x:v>Fashion</x:v>
      </x:c>
      <x:c r="F655" s="1" t="str">
        <x:v>Sneakers</x:v>
      </x:c>
      <x:c r="G655" s="1" t="n">
        <x:v>2</x:v>
      </x:c>
      <x:c r="H655" s="2" t="n">
        <x:v>2400</x:v>
      </x:c>
      <x:c r="I655" s="3" t="n">
        <x:v>0.15</x:v>
      </x:c>
      <x:c r="J655" s="2" t="n">
        <x:v>1200</x:v>
      </x:c>
      <x:c r="K655" s="2" t="n">
        <x:v>50</x:v>
      </x:c>
      <x:c r="L655" s="2" t="n">
        <x:f>G655*H655</x:f>
        <x:v>4800</x:v>
      </x:c>
      <x:c r="M655" s="2" t="n">
        <x:f>ROUND(L655*(1-I655),2)</x:f>
        <x:v>4080</x:v>
      </x:c>
      <x:c r="N655" s="2" t="n">
        <x:f>G655*J655</x:f>
        <x:v>2400</x:v>
      </x:c>
      <x:c r="O655" s="2" t="n">
        <x:f>M655-N655-K655</x:f>
        <x:v>1630</x:v>
      </x:c>
      <x:c r="P655" s="1" t="str">
        <x:f>TEXT(B655,"yyyy-mm")</x:f>
        <x:v>2025-04</x:v>
      </x:c>
    </x:row>
    <x:row r="656">
      <x:c r="A656" s="1" t="str">
        <x:v>ORD-0652</x:v>
      </x:c>
      <x:c r="B656" s="4" t="d">
        <x:v>2025-01-28T00:00:00.000Z</x:v>
      </x:c>
      <x:c r="C656" s="1" t="str">
        <x:v>C-244</x:v>
      </x:c>
      <x:c r="D656" s="1" t="str">
        <x:v>West</x:v>
      </x:c>
      <x:c r="E656" s="1" t="str">
        <x:v>Fashion</x:v>
      </x:c>
      <x:c r="F656" s="1" t="str">
        <x:v>Backpack</x:v>
      </x:c>
      <x:c r="G656" s="1" t="n">
        <x:v>3</x:v>
      </x:c>
      <x:c r="H656" s="2" t="n">
        <x:v>1300</x:v>
      </x:c>
      <x:c r="I656" s="3" t="n">
        <x:v>0.1</x:v>
      </x:c>
      <x:c r="J656" s="2" t="n">
        <x:v>650</x:v>
      </x:c>
      <x:c r="K656" s="2" t="n">
        <x:v>120</x:v>
      </x:c>
      <x:c r="L656" s="2" t="n">
        <x:f>G656*H656</x:f>
        <x:v>3900</x:v>
      </x:c>
      <x:c r="M656" s="2" t="n">
        <x:f>ROUND(L656*(1-I656),2)</x:f>
        <x:v>3510</x:v>
      </x:c>
      <x:c r="N656" s="2" t="n">
        <x:f>G656*J656</x:f>
        <x:v>1950</x:v>
      </x:c>
      <x:c r="O656" s="2" t="n">
        <x:f>M656-N656-K656</x:f>
        <x:v>1440</x:v>
      </x:c>
      <x:c r="P656" s="1" t="str">
        <x:f>TEXT(B656,"yyyy-mm")</x:f>
        <x:v>2025-01</x:v>
      </x:c>
    </x:row>
    <x:row r="657">
      <x:c r="A657" s="1" t="str">
        <x:v>ORD-0653</x:v>
      </x:c>
      <x:c r="B657" s="4" t="d">
        <x:v>2025-07-19T00:00:00.000Z</x:v>
      </x:c>
      <x:c r="C657" s="1" t="str">
        <x:v>C-234</x:v>
      </x:c>
      <x:c r="D657" s="1" t="str">
        <x:v>West</x:v>
      </x:c>
      <x:c r="E657" s="1" t="str">
        <x:v>Home</x:v>
      </x:c>
      <x:c r="F657" s="1" t="str">
        <x:v>Storage box</x:v>
      </x:c>
      <x:c r="G657" s="1" t="n">
        <x:v>3</x:v>
      </x:c>
      <x:c r="H657" s="2" t="n">
        <x:v>800</x:v>
      </x:c>
      <x:c r="I657" s="3" t="n">
        <x:v>0.05</x:v>
      </x:c>
      <x:c r="J657" s="2" t="n">
        <x:v>420</x:v>
      </x:c>
      <x:c r="K657" s="2" t="n">
        <x:v>80</x:v>
      </x:c>
      <x:c r="L657" s="2" t="n">
        <x:f>G657*H657</x:f>
        <x:v>2400</x:v>
      </x:c>
      <x:c r="M657" s="2" t="n">
        <x:f>ROUND(L657*(1-I657),2)</x:f>
        <x:v>2280</x:v>
      </x:c>
      <x:c r="N657" s="2" t="n">
        <x:f>G657*J657</x:f>
        <x:v>1260</x:v>
      </x:c>
      <x:c r="O657" s="2" t="n">
        <x:f>M657-N657-K657</x:f>
        <x:v>940</x:v>
      </x:c>
      <x:c r="P657" s="1" t="str">
        <x:f>TEXT(B657,"yyyy-mm")</x:f>
        <x:v>2025-07</x:v>
      </x:c>
    </x:row>
    <x:row r="658">
      <x:c r="A658" s="1" t="str">
        <x:v>ORD-0654</x:v>
      </x:c>
      <x:c r="B658" s="4" t="d">
        <x:v>2025-07-15T00:00:00.000Z</x:v>
      </x:c>
      <x:c r="C658" s="1" t="str">
        <x:v>C-158</x:v>
      </x:c>
      <x:c r="D658" s="1" t="str">
        <x:v>East</x:v>
      </x:c>
      <x:c r="E658" s="1" t="str">
        <x:v>Fashion</x:v>
      </x:c>
      <x:c r="F658" s="1" t="str">
        <x:v>T-shirt</x:v>
      </x:c>
      <x:c r="G658" s="1" t="n">
        <x:v>4</x:v>
      </x:c>
      <x:c r="H658" s="2" t="n">
        <x:v>700</x:v>
      </x:c>
      <x:c r="I658" s="3" t="n">
        <x:v>0</x:v>
      </x:c>
      <x:c r="J658" s="2" t="n">
        <x:v>300</x:v>
      </x:c>
      <x:c r="K658" s="2" t="n">
        <x:v>80</x:v>
      </x:c>
      <x:c r="L658" s="2" t="n">
        <x:f>G658*H658</x:f>
        <x:v>2800</x:v>
      </x:c>
      <x:c r="M658" s="2" t="n">
        <x:f>ROUND(L658*(1-I658),2)</x:f>
        <x:v>2800</x:v>
      </x:c>
      <x:c r="N658" s="2" t="n">
        <x:f>G658*J658</x:f>
        <x:v>1200</x:v>
      </x:c>
      <x:c r="O658" s="2" t="n">
        <x:f>M658-N658-K658</x:f>
        <x:v>1520</x:v>
      </x:c>
      <x:c r="P658" s="1" t="str">
        <x:f>TEXT(B658,"yyyy-mm")</x:f>
        <x:v>2025-07</x:v>
      </x:c>
    </x:row>
    <x:row r="659">
      <x:c r="A659" s="1" t="str">
        <x:v>ORD-0655</x:v>
      </x:c>
      <x:c r="B659" s="4" t="d">
        <x:v>2025-03-17T00:00:00.000Z</x:v>
      </x:c>
      <x:c r="C659" s="1" t="str">
        <x:v>C-070</x:v>
      </x:c>
      <x:c r="D659" s="1" t="str">
        <x:v>East</x:v>
      </x:c>
      <x:c r="E659" s="1" t="str">
        <x:v>Electronics</x:v>
      </x:c>
      <x:c r="F659" s="1" t="str">
        <x:v>Headphones</x:v>
      </x:c>
      <x:c r="G659" s="1" t="n">
        <x:v>3</x:v>
      </x:c>
      <x:c r="H659" s="2" t="n">
        <x:v>2200</x:v>
      </x:c>
      <x:c r="I659" s="3" t="n">
        <x:v>0</x:v>
      </x:c>
      <x:c r="J659" s="2" t="n">
        <x:v>1450</x:v>
      </x:c>
      <x:c r="K659" s="2" t="n">
        <x:v>80</x:v>
      </x:c>
      <x:c r="L659" s="2" t="n">
        <x:f>G659*H659</x:f>
        <x:v>6600</x:v>
      </x:c>
      <x:c r="M659" s="2" t="n">
        <x:f>ROUND(L659*(1-I659),2)</x:f>
        <x:v>6600</x:v>
      </x:c>
      <x:c r="N659" s="2" t="n">
        <x:f>G659*J659</x:f>
        <x:v>4350</x:v>
      </x:c>
      <x:c r="O659" s="2" t="n">
        <x:f>M659-N659-K659</x:f>
        <x:v>2170</x:v>
      </x:c>
      <x:c r="P659" s="1" t="str">
        <x:f>TEXT(B659,"yyyy-mm")</x:f>
        <x:v>2025-03</x:v>
      </x:c>
    </x:row>
    <x:row r="660">
      <x:c r="A660" s="1" t="str">
        <x:v>ORD-0656</x:v>
      </x:c>
      <x:c r="B660" s="4" t="d">
        <x:v>2025-08-10T00:00:00.000Z</x:v>
      </x:c>
      <x:c r="C660" s="1" t="str">
        <x:v>C-005</x:v>
      </x:c>
      <x:c r="D660" s="1" t="str">
        <x:v>West</x:v>
      </x:c>
      <x:c r="E660" s="1" t="str">
        <x:v>Home</x:v>
      </x:c>
      <x:c r="F660" s="1" t="str">
        <x:v>Desk lamp</x:v>
      </x:c>
      <x:c r="G660" s="1" t="n">
        <x:v>3</x:v>
      </x:c>
      <x:c r="H660" s="2" t="n">
        <x:v>1100</x:v>
      </x:c>
      <x:c r="I660" s="3" t="n">
        <x:v>0.15</x:v>
      </x:c>
      <x:c r="J660" s="2" t="n">
        <x:v>650</x:v>
      </x:c>
      <x:c r="K660" s="2" t="n">
        <x:v>120</x:v>
      </x:c>
      <x:c r="L660" s="2" t="n">
        <x:f>G660*H660</x:f>
        <x:v>3300</x:v>
      </x:c>
      <x:c r="M660" s="2" t="n">
        <x:f>ROUND(L660*(1-I660),2)</x:f>
        <x:v>2805</x:v>
      </x:c>
      <x:c r="N660" s="2" t="n">
        <x:f>G660*J660</x:f>
        <x:v>1950</x:v>
      </x:c>
      <x:c r="O660" s="2" t="n">
        <x:f>M660-N660-K660</x:f>
        <x:v>735</x:v>
      </x:c>
      <x:c r="P660" s="1" t="str">
        <x:f>TEXT(B660,"yyyy-mm")</x:f>
        <x:v>2025-08</x:v>
      </x:c>
    </x:row>
    <x:row r="661">
      <x:c r="A661" s="1" t="str">
        <x:v>ORD-0657</x:v>
      </x:c>
      <x:c r="B661" s="4" t="d">
        <x:v>2025-04-12T00:00:00.000Z</x:v>
      </x:c>
      <x:c r="C661" s="1" t="str">
        <x:v>C-097</x:v>
      </x:c>
      <x:c r="D661" s="1" t="str">
        <x:v>West</x:v>
      </x:c>
      <x:c r="E661" s="1" t="str">
        <x:v>Electronics</x:v>
      </x:c>
      <x:c r="F661" s="1" t="str">
        <x:v>Headphones</x:v>
      </x:c>
      <x:c r="G661" s="1" t="n">
        <x:v>4</x:v>
      </x:c>
      <x:c r="H661" s="2" t="n">
        <x:v>2200</x:v>
      </x:c>
      <x:c r="I661" s="3" t="n">
        <x:v>0.25</x:v>
      </x:c>
      <x:c r="J661" s="2" t="n">
        <x:v>1450</x:v>
      </x:c>
      <x:c r="K661" s="2" t="n">
        <x:v>80</x:v>
      </x:c>
      <x:c r="L661" s="2" t="n">
        <x:f>G661*H661</x:f>
        <x:v>8800</x:v>
      </x:c>
      <x:c r="M661" s="2" t="n">
        <x:f>ROUND(L661*(1-I661),2)</x:f>
        <x:v>6600</x:v>
      </x:c>
      <x:c r="N661" s="2" t="n">
        <x:f>G661*J661</x:f>
        <x:v>5800</x:v>
      </x:c>
      <x:c r="O661" s="2" t="n">
        <x:f>M661-N661-K661</x:f>
        <x:v>720</x:v>
      </x:c>
      <x:c r="P661" s="1" t="str">
        <x:f>TEXT(B661,"yyyy-mm")</x:f>
        <x:v>2025-04</x:v>
      </x:c>
    </x:row>
    <x:row r="662">
      <x:c r="A662" s="1" t="str">
        <x:v>ORD-0658</x:v>
      </x:c>
      <x:c r="B662" s="4" t="d">
        <x:v>2025-04-08T00:00:00.000Z</x:v>
      </x:c>
      <x:c r="C662" s="1" t="str">
        <x:v>C-135</x:v>
      </x:c>
      <x:c r="D662" s="1" t="str">
        <x:v>North</x:v>
      </x:c>
      <x:c r="E662" s="1" t="str">
        <x:v>Home</x:v>
      </x:c>
      <x:c r="F662" s="1" t="str">
        <x:v>Office chair</x:v>
      </x:c>
      <x:c r="G662" s="1" t="n">
        <x:v>4</x:v>
      </x:c>
      <x:c r="H662" s="2" t="n">
        <x:v>5500</x:v>
      </x:c>
      <x:c r="I662" s="3" t="n">
        <x:v>0.15</x:v>
      </x:c>
      <x:c r="J662" s="2" t="n">
        <x:v>4400</x:v>
      </x:c>
      <x:c r="K662" s="2" t="n">
        <x:v>120</x:v>
      </x:c>
      <x:c r="L662" s="2" t="n">
        <x:f>G662*H662</x:f>
        <x:v>22000</x:v>
      </x:c>
      <x:c r="M662" s="2" t="n">
        <x:f>ROUND(L662*(1-I662),2)</x:f>
        <x:v>18700</x:v>
      </x:c>
      <x:c r="N662" s="2" t="n">
        <x:f>G662*J662</x:f>
        <x:v>17600</x:v>
      </x:c>
      <x:c r="O662" s="2" t="n">
        <x:f>M662-N662-K662</x:f>
        <x:v>980</x:v>
      </x:c>
      <x:c r="P662" s="1" t="str">
        <x:f>TEXT(B662,"yyyy-mm")</x:f>
        <x:v>2025-04</x:v>
      </x:c>
    </x:row>
    <x:row r="663">
      <x:c r="A663" s="1" t="str">
        <x:v>ORD-0659</x:v>
      </x:c>
      <x:c r="B663" s="4" t="d">
        <x:v>2025-04-21T00:00:00.000Z</x:v>
      </x:c>
      <x:c r="C663" s="1" t="str">
        <x:v>C-273</x:v>
      </x:c>
      <x:c r="D663" s="1" t="str">
        <x:v>East</x:v>
      </x:c>
      <x:c r="E663" s="1" t="str">
        <x:v>Fashion</x:v>
      </x:c>
      <x:c r="F663" s="1" t="str">
        <x:v>Sneakers</x:v>
      </x:c>
      <x:c r="G663" s="1" t="n">
        <x:v>4</x:v>
      </x:c>
      <x:c r="H663" s="2" t="n">
        <x:v>2400</x:v>
      </x:c>
      <x:c r="I663" s="3" t="n">
        <x:v>0.1</x:v>
      </x:c>
      <x:c r="J663" s="2" t="n">
        <x:v>1200</x:v>
      </x:c>
      <x:c r="K663" s="2" t="n">
        <x:v>50</x:v>
      </x:c>
      <x:c r="L663" s="2" t="n">
        <x:f>G663*H663</x:f>
        <x:v>9600</x:v>
      </x:c>
      <x:c r="M663" s="2" t="n">
        <x:f>ROUND(L663*(1-I663),2)</x:f>
        <x:v>8640</x:v>
      </x:c>
      <x:c r="N663" s="2" t="n">
        <x:f>G663*J663</x:f>
        <x:v>4800</x:v>
      </x:c>
      <x:c r="O663" s="2" t="n">
        <x:f>M663-N663-K663</x:f>
        <x:v>3790</x:v>
      </x:c>
      <x:c r="P663" s="1" t="str">
        <x:f>TEXT(B663,"yyyy-mm")</x:f>
        <x:v>2025-04</x:v>
      </x:c>
    </x:row>
    <x:row r="664">
      <x:c r="A664" s="1" t="str">
        <x:v>ORD-0660</x:v>
      </x:c>
      <x:c r="B664" s="4" t="d">
        <x:v>2025-11-10T00:00:00.000Z</x:v>
      </x:c>
      <x:c r="C664" s="1" t="str">
        <x:v>C-057</x:v>
      </x:c>
      <x:c r="D664" s="1" t="str">
        <x:v>West</x:v>
      </x:c>
      <x:c r="E664" s="1" t="str">
        <x:v>Electronics</x:v>
      </x:c>
      <x:c r="F664" s="1" t="str">
        <x:v>Smartwatch</x:v>
      </x:c>
      <x:c r="G664" s="1" t="n">
        <x:v>4</x:v>
      </x:c>
      <x:c r="H664" s="2" t="n">
        <x:v>4200</x:v>
      </x:c>
      <x:c r="I664" s="3" t="n">
        <x:v>0.05</x:v>
      </x:c>
      <x:c r="J664" s="2" t="n">
        <x:v>3000</x:v>
      </x:c>
      <x:c r="K664" s="2" t="n">
        <x:v>80</x:v>
      </x:c>
      <x:c r="L664" s="2" t="n">
        <x:f>G664*H664</x:f>
        <x:v>16800</x:v>
      </x:c>
      <x:c r="M664" s="2" t="n">
        <x:f>ROUND(L664*(1-I664),2)</x:f>
        <x:v>15960</x:v>
      </x:c>
      <x:c r="N664" s="2" t="n">
        <x:f>G664*J664</x:f>
        <x:v>12000</x:v>
      </x:c>
      <x:c r="O664" s="2" t="n">
        <x:f>M664-N664-K664</x:f>
        <x:v>3880</x:v>
      </x:c>
      <x:c r="P664" s="1" t="str">
        <x:f>TEXT(B664,"yyyy-mm")</x:f>
        <x:v>2025-11</x:v>
      </x:c>
    </x:row>
    <x:row r="665">
      <x:c r="A665" s="1" t="str">
        <x:v>ORD-0661</x:v>
      </x:c>
      <x:c r="B665" s="4" t="d">
        <x:v>2025-10-11T00:00:00.000Z</x:v>
      </x:c>
      <x:c r="C665" s="1" t="str">
        <x:v>C-010</x:v>
      </x:c>
      <x:c r="D665" s="1" t="str">
        <x:v>South</x:v>
      </x:c>
      <x:c r="E665" s="1" t="str">
        <x:v>Home</x:v>
      </x:c>
      <x:c r="F665" s="1" t="str">
        <x:v>Desk lamp</x:v>
      </x:c>
      <x:c r="G665" s="1" t="n">
        <x:v>1</x:v>
      </x:c>
      <x:c r="H665" s="2" t="n">
        <x:v>1100</x:v>
      </x:c>
      <x:c r="I665" s="3" t="n">
        <x:v>0.05</x:v>
      </x:c>
      <x:c r="J665" s="2" t="n">
        <x:v>650</x:v>
      </x:c>
      <x:c r="K665" s="2" t="n">
        <x:v>120</x:v>
      </x:c>
      <x:c r="L665" s="2" t="n">
        <x:f>G665*H665</x:f>
        <x:v>1100</x:v>
      </x:c>
      <x:c r="M665" s="2" t="n">
        <x:f>ROUND(L665*(1-I665),2)</x:f>
        <x:v>1045</x:v>
      </x:c>
      <x:c r="N665" s="2" t="n">
        <x:f>G665*J665</x:f>
        <x:v>650</x:v>
      </x:c>
      <x:c r="O665" s="2" t="n">
        <x:f>M665-N665-K665</x:f>
        <x:v>275</x:v>
      </x:c>
      <x:c r="P665" s="1" t="str">
        <x:f>TEXT(B665,"yyyy-mm")</x:f>
        <x:v>2025-10</x:v>
      </x:c>
    </x:row>
    <x:row r="666">
      <x:c r="A666" s="1" t="str">
        <x:v>ORD-0662</x:v>
      </x:c>
      <x:c r="B666" s="4" t="d">
        <x:v>2025-01-09T00:00:00.000Z</x:v>
      </x:c>
      <x:c r="C666" s="1" t="str">
        <x:v>C-065</x:v>
      </x:c>
      <x:c r="D666" s="1" t="str">
        <x:v>West</x:v>
      </x:c>
      <x:c r="E666" s="1" t="str">
        <x:v>Electronics</x:v>
      </x:c>
      <x:c r="F666" s="1" t="str">
        <x:v>Keyboard</x:v>
      </x:c>
      <x:c r="G666" s="1" t="n">
        <x:v>1</x:v>
      </x:c>
      <x:c r="H666" s="2" t="n">
        <x:v>1500</x:v>
      </x:c>
      <x:c r="I666" s="3" t="n">
        <x:v>0.1</x:v>
      </x:c>
      <x:c r="J666" s="2" t="n">
        <x:v>900</x:v>
      </x:c>
      <x:c r="K666" s="2" t="n">
        <x:v>50</x:v>
      </x:c>
      <x:c r="L666" s="2" t="n">
        <x:f>G666*H666</x:f>
        <x:v>1500</x:v>
      </x:c>
      <x:c r="M666" s="2" t="n">
        <x:f>ROUND(L666*(1-I666),2)</x:f>
        <x:v>1350</x:v>
      </x:c>
      <x:c r="N666" s="2" t="n">
        <x:f>G666*J666</x:f>
        <x:v>900</x:v>
      </x:c>
      <x:c r="O666" s="2" t="n">
        <x:f>M666-N666-K666</x:f>
        <x:v>400</x:v>
      </x:c>
      <x:c r="P666" s="1" t="str">
        <x:f>TEXT(B666,"yyyy-mm")</x:f>
        <x:v>2025-01</x:v>
      </x:c>
    </x:row>
    <x:row r="667">
      <x:c r="A667" s="1" t="str">
        <x:v>ORD-0663</x:v>
      </x:c>
      <x:c r="B667" s="4" t="d">
        <x:v>2025-02-07T00:00:00.000Z</x:v>
      </x:c>
      <x:c r="C667" s="1" t="str">
        <x:v>C-176</x:v>
      </x:c>
      <x:c r="D667" s="1" t="str">
        <x:v>West</x:v>
      </x:c>
      <x:c r="E667" s="1" t="str">
        <x:v>Electronics</x:v>
      </x:c>
      <x:c r="F667" s="1" t="str">
        <x:v>Headphones</x:v>
      </x:c>
      <x:c r="G667" s="1" t="n">
        <x:v>3</x:v>
      </x:c>
      <x:c r="H667" s="2" t="n">
        <x:v>2200</x:v>
      </x:c>
      <x:c r="I667" s="3" t="n">
        <x:v>0.15</x:v>
      </x:c>
      <x:c r="J667" s="2" t="n">
        <x:v>1450</x:v>
      </x:c>
      <x:c r="K667" s="2" t="n">
        <x:v>80</x:v>
      </x:c>
      <x:c r="L667" s="2" t="n">
        <x:f>G667*H667</x:f>
        <x:v>6600</x:v>
      </x:c>
      <x:c r="M667" s="2" t="n">
        <x:f>ROUND(L667*(1-I667),2)</x:f>
        <x:v>5610</x:v>
      </x:c>
      <x:c r="N667" s="2" t="n">
        <x:f>G667*J667</x:f>
        <x:v>4350</x:v>
      </x:c>
      <x:c r="O667" s="2" t="n">
        <x:f>M667-N667-K667</x:f>
        <x:v>1180</x:v>
      </x:c>
      <x:c r="P667" s="1" t="str">
        <x:f>TEXT(B667,"yyyy-mm")</x:f>
        <x:v>2025-02</x:v>
      </x:c>
    </x:row>
    <x:row r="668">
      <x:c r="A668" s="1" t="str">
        <x:v>ORD-0664</x:v>
      </x:c>
      <x:c r="B668" s="4" t="d">
        <x:v>2025-12-26T00:00:00.000Z</x:v>
      </x:c>
      <x:c r="C668" s="1" t="str">
        <x:v>C-017</x:v>
      </x:c>
      <x:c r="D668" s="1" t="str">
        <x:v>East</x:v>
      </x:c>
      <x:c r="E668" s="1" t="str">
        <x:v>Home</x:v>
      </x:c>
      <x:c r="F668" s="1" t="str">
        <x:v>Desk lamp</x:v>
      </x:c>
      <x:c r="G668" s="1" t="n">
        <x:v>1</x:v>
      </x:c>
      <x:c r="H668" s="2" t="n">
        <x:v>1100</x:v>
      </x:c>
      <x:c r="I668" s="3" t="n">
        <x:v>0.35</x:v>
      </x:c>
      <x:c r="J668" s="2" t="n">
        <x:v>650</x:v>
      </x:c>
      <x:c r="K668" s="2" t="n">
        <x:v>50</x:v>
      </x:c>
      <x:c r="L668" s="2" t="n">
        <x:f>G668*H668</x:f>
        <x:v>1100</x:v>
      </x:c>
      <x:c r="M668" s="2" t="n">
        <x:f>ROUND(L668*(1-I668),2)</x:f>
        <x:v>715</x:v>
      </x:c>
      <x:c r="N668" s="2" t="n">
        <x:f>G668*J668</x:f>
        <x:v>650</x:v>
      </x:c>
      <x:c r="O668" s="2" t="n">
        <x:f>M668-N668-K668</x:f>
        <x:v>15</x:v>
      </x:c>
      <x:c r="P668" s="1" t="str">
        <x:f>TEXT(B668,"yyyy-mm")</x:f>
        <x:v>2025-12</x:v>
      </x:c>
    </x:row>
    <x:row r="669">
      <x:c r="A669" s="1" t="str">
        <x:v>ORD-0665</x:v>
      </x:c>
      <x:c r="B669" s="4" t="d">
        <x:v>2025-01-18T00:00:00.000Z</x:v>
      </x:c>
      <x:c r="C669" s="1" t="str">
        <x:v>C-241</x:v>
      </x:c>
      <x:c r="D669" s="1" t="str">
        <x:v>South</x:v>
      </x:c>
      <x:c r="E669" s="1" t="str">
        <x:v>Home</x:v>
      </x:c>
      <x:c r="F669" s="1" t="str">
        <x:v>Office chair</x:v>
      </x:c>
      <x:c r="G669" s="1" t="n">
        <x:v>2</x:v>
      </x:c>
      <x:c r="H669" s="2" t="n">
        <x:v>5500</x:v>
      </x:c>
      <x:c r="I669" s="3" t="n">
        <x:v>0</x:v>
      </x:c>
      <x:c r="J669" s="2" t="n">
        <x:v>4400</x:v>
      </x:c>
      <x:c r="K669" s="2" t="n">
        <x:v>80</x:v>
      </x:c>
      <x:c r="L669" s="2" t="n">
        <x:f>G669*H669</x:f>
        <x:v>11000</x:v>
      </x:c>
      <x:c r="M669" s="2" t="n">
        <x:f>ROUND(L669*(1-I669),2)</x:f>
        <x:v>11000</x:v>
      </x:c>
      <x:c r="N669" s="2" t="n">
        <x:f>G669*J669</x:f>
        <x:v>8800</x:v>
      </x:c>
      <x:c r="O669" s="2" t="n">
        <x:f>M669-N669-K669</x:f>
        <x:v>2120</x:v>
      </x:c>
      <x:c r="P669" s="1" t="str">
        <x:f>TEXT(B669,"yyyy-mm")</x:f>
        <x:v>2025-01</x:v>
      </x:c>
    </x:row>
    <x:row r="670">
      <x:c r="A670" s="1" t="str">
        <x:v>ORD-0666</x:v>
      </x:c>
      <x:c r="B670" s="4" t="d">
        <x:v>2025-11-25T00:00:00.000Z</x:v>
      </x:c>
      <x:c r="C670" s="1" t="str">
        <x:v>C-128</x:v>
      </x:c>
      <x:c r="D670" s="1" t="str">
        <x:v>West</x:v>
      </x:c>
      <x:c r="E670" s="1" t="str">
        <x:v>Electronics</x:v>
      </x:c>
      <x:c r="F670" s="1" t="str">
        <x:v>Headphones</x:v>
      </x:c>
      <x:c r="G670" s="1" t="n">
        <x:v>4</x:v>
      </x:c>
      <x:c r="H670" s="2" t="n">
        <x:v>2200</x:v>
      </x:c>
      <x:c r="I670" s="3" t="n">
        <x:v>0</x:v>
      </x:c>
      <x:c r="J670" s="2" t="n">
        <x:v>1450</x:v>
      </x:c>
      <x:c r="K670" s="2" t="n">
        <x:v>50</x:v>
      </x:c>
      <x:c r="L670" s="2" t="n">
        <x:f>G670*H670</x:f>
        <x:v>8800</x:v>
      </x:c>
      <x:c r="M670" s="2" t="n">
        <x:f>ROUND(L670*(1-I670),2)</x:f>
        <x:v>8800</x:v>
      </x:c>
      <x:c r="N670" s="2" t="n">
        <x:f>G670*J670</x:f>
        <x:v>5800</x:v>
      </x:c>
      <x:c r="O670" s="2" t="n">
        <x:f>M670-N670-K670</x:f>
        <x:v>2950</x:v>
      </x:c>
      <x:c r="P670" s="1" t="str">
        <x:f>TEXT(B670,"yyyy-mm")</x:f>
        <x:v>2025-11</x:v>
      </x:c>
    </x:row>
    <x:row r="671">
      <x:c r="A671" s="1" t="str">
        <x:v>ORD-0667</x:v>
      </x:c>
      <x:c r="B671" s="4" t="d">
        <x:v>2025-10-15T00:00:00.000Z</x:v>
      </x:c>
      <x:c r="C671" s="1" t="str">
        <x:v>C-049</x:v>
      </x:c>
      <x:c r="D671" s="1" t="str">
        <x:v>South</x:v>
      </x:c>
      <x:c r="E671" s="1" t="str">
        <x:v>Electronics</x:v>
      </x:c>
      <x:c r="F671" s="1" t="str">
        <x:v>Headphones</x:v>
      </x:c>
      <x:c r="G671" s="1" t="n">
        <x:v>4</x:v>
      </x:c>
      <x:c r="H671" s="2" t="n">
        <x:v>2200</x:v>
      </x:c>
      <x:c r="I671" s="3" t="n">
        <x:v>0.05</x:v>
      </x:c>
      <x:c r="J671" s="2" t="n">
        <x:v>1450</x:v>
      </x:c>
      <x:c r="K671" s="2" t="n">
        <x:v>80</x:v>
      </x:c>
      <x:c r="L671" s="2" t="n">
        <x:f>G671*H671</x:f>
        <x:v>8800</x:v>
      </x:c>
      <x:c r="M671" s="2" t="n">
        <x:f>ROUND(L671*(1-I671),2)</x:f>
        <x:v>8360</x:v>
      </x:c>
      <x:c r="N671" s="2" t="n">
        <x:f>G671*J671</x:f>
        <x:v>5800</x:v>
      </x:c>
      <x:c r="O671" s="2" t="n">
        <x:f>M671-N671-K671</x:f>
        <x:v>2480</x:v>
      </x:c>
      <x:c r="P671" s="1" t="str">
        <x:f>TEXT(B671,"yyyy-mm")</x:f>
        <x:v>2025-10</x:v>
      </x:c>
    </x:row>
    <x:row r="672">
      <x:c r="A672" s="1" t="str">
        <x:v>ORD-0668</x:v>
      </x:c>
      <x:c r="B672" s="4" t="d">
        <x:v>2025-10-06T00:00:00.000Z</x:v>
      </x:c>
      <x:c r="C672" s="1" t="str">
        <x:v>C-022</x:v>
      </x:c>
      <x:c r="D672" s="1" t="str">
        <x:v>North</x:v>
      </x:c>
      <x:c r="E672" s="1" t="str">
        <x:v>Fashion</x:v>
      </x:c>
      <x:c r="F672" s="1" t="str">
        <x:v>Sneakers</x:v>
      </x:c>
      <x:c r="G672" s="1" t="n">
        <x:v>3</x:v>
      </x:c>
      <x:c r="H672" s="2" t="n">
        <x:v>2400</x:v>
      </x:c>
      <x:c r="I672" s="3" t="n">
        <x:v>0.1</x:v>
      </x:c>
      <x:c r="J672" s="2" t="n">
        <x:v>1200</x:v>
      </x:c>
      <x:c r="K672" s="2" t="n">
        <x:v>80</x:v>
      </x:c>
      <x:c r="L672" s="2" t="n">
        <x:f>G672*H672</x:f>
        <x:v>7200</x:v>
      </x:c>
      <x:c r="M672" s="2" t="n">
        <x:f>ROUND(L672*(1-I672),2)</x:f>
        <x:v>6480</x:v>
      </x:c>
      <x:c r="N672" s="2" t="n">
        <x:f>G672*J672</x:f>
        <x:v>3600</x:v>
      </x:c>
      <x:c r="O672" s="2" t="n">
        <x:f>M672-N672-K672</x:f>
        <x:v>2800</x:v>
      </x:c>
      <x:c r="P672" s="1" t="str">
        <x:f>TEXT(B672,"yyyy-mm")</x:f>
        <x:v>2025-10</x:v>
      </x:c>
    </x:row>
    <x:row r="673">
      <x:c r="A673" s="1" t="str">
        <x:v>ORD-0669</x:v>
      </x:c>
      <x:c r="B673" s="4" t="d">
        <x:v>2025-09-29T00:00:00.000Z</x:v>
      </x:c>
      <x:c r="C673" s="1" t="str">
        <x:v>C-027</x:v>
      </x:c>
      <x:c r="D673" s="1" t="str">
        <x:v>South</x:v>
      </x:c>
      <x:c r="E673" s="1" t="str">
        <x:v>Fashion</x:v>
      </x:c>
      <x:c r="F673" s="1" t="str">
        <x:v>T-shirt</x:v>
      </x:c>
      <x:c r="G673" s="1" t="n">
        <x:v>1</x:v>
      </x:c>
      <x:c r="H673" s="2" t="n">
        <x:v>700</x:v>
      </x:c>
      <x:c r="I673" s="3" t="n">
        <x:v>0.1</x:v>
      </x:c>
      <x:c r="J673" s="2" t="n">
        <x:v>300</x:v>
      </x:c>
      <x:c r="K673" s="2" t="n">
        <x:v>50</x:v>
      </x:c>
      <x:c r="L673" s="2" t="n">
        <x:f>G673*H673</x:f>
        <x:v>700</x:v>
      </x:c>
      <x:c r="M673" s="2" t="n">
        <x:f>ROUND(L673*(1-I673),2)</x:f>
        <x:v>630</x:v>
      </x:c>
      <x:c r="N673" s="2" t="n">
        <x:f>G673*J673</x:f>
        <x:v>300</x:v>
      </x:c>
      <x:c r="O673" s="2" t="n">
        <x:f>M673-N673-K673</x:f>
        <x:v>280</x:v>
      </x:c>
      <x:c r="P673" s="1" t="str">
        <x:f>TEXT(B673,"yyyy-mm")</x:f>
        <x:v>2025-09</x:v>
      </x:c>
    </x:row>
    <x:row r="674">
      <x:c r="A674" s="1" t="str">
        <x:v>ORD-0670</x:v>
      </x:c>
      <x:c r="B674" s="4" t="d">
        <x:v>2025-09-06T00:00:00.000Z</x:v>
      </x:c>
      <x:c r="C674" s="1" t="str">
        <x:v>C-142</x:v>
      </x:c>
      <x:c r="D674" s="1" t="str">
        <x:v>North</x:v>
      </x:c>
      <x:c r="E674" s="1" t="str">
        <x:v>Fashion</x:v>
      </x:c>
      <x:c r="F674" s="1" t="str">
        <x:v>Backpack</x:v>
      </x:c>
      <x:c r="G674" s="1" t="n">
        <x:v>4</x:v>
      </x:c>
      <x:c r="H674" s="2" t="n">
        <x:v>1300</x:v>
      </x:c>
      <x:c r="I674" s="3" t="n">
        <x:v>0</x:v>
      </x:c>
      <x:c r="J674" s="2" t="n">
        <x:v>650</x:v>
      </x:c>
      <x:c r="K674" s="2" t="n">
        <x:v>50</x:v>
      </x:c>
      <x:c r="L674" s="2" t="n">
        <x:f>G674*H674</x:f>
        <x:v>5200</x:v>
      </x:c>
      <x:c r="M674" s="2" t="n">
        <x:f>ROUND(L674*(1-I674),2)</x:f>
        <x:v>5200</x:v>
      </x:c>
      <x:c r="N674" s="2" t="n">
        <x:f>G674*J674</x:f>
        <x:v>2600</x:v>
      </x:c>
      <x:c r="O674" s="2" t="n">
        <x:f>M674-N674-K674</x:f>
        <x:v>2550</x:v>
      </x:c>
      <x:c r="P674" s="1" t="str">
        <x:f>TEXT(B674,"yyyy-mm")</x:f>
        <x:v>2025-09</x:v>
      </x:c>
    </x:row>
    <x:row r="675">
      <x:c r="A675" s="1" t="str">
        <x:v>ORD-0671</x:v>
      </x:c>
      <x:c r="B675" s="4" t="d">
        <x:v>2025-01-26T00:00:00.000Z</x:v>
      </x:c>
      <x:c r="C675" s="1" t="str">
        <x:v>C-244</x:v>
      </x:c>
      <x:c r="D675" s="1" t="str">
        <x:v>South</x:v>
      </x:c>
      <x:c r="E675" s="1" t="str">
        <x:v>Electronics</x:v>
      </x:c>
      <x:c r="F675" s="1" t="str">
        <x:v>Headphones</x:v>
      </x:c>
      <x:c r="G675" s="1" t="n">
        <x:v>3</x:v>
      </x:c>
      <x:c r="H675" s="2" t="n">
        <x:v>2200</x:v>
      </x:c>
      <x:c r="I675" s="3" t="n">
        <x:v>0.25</x:v>
      </x:c>
      <x:c r="J675" s="2" t="n">
        <x:v>1450</x:v>
      </x:c>
      <x:c r="K675" s="2" t="n">
        <x:v>50</x:v>
      </x:c>
      <x:c r="L675" s="2" t="n">
        <x:f>G675*H675</x:f>
        <x:v>6600</x:v>
      </x:c>
      <x:c r="M675" s="2" t="n">
        <x:f>ROUND(L675*(1-I675),2)</x:f>
        <x:v>4950</x:v>
      </x:c>
      <x:c r="N675" s="2" t="n">
        <x:f>G675*J675</x:f>
        <x:v>4350</x:v>
      </x:c>
      <x:c r="O675" s="2" t="n">
        <x:f>M675-N675-K675</x:f>
        <x:v>550</x:v>
      </x:c>
      <x:c r="P675" s="1" t="str">
        <x:f>TEXT(B675,"yyyy-mm")</x:f>
        <x:v>2025-01</x:v>
      </x:c>
    </x:row>
    <x:row r="676">
      <x:c r="A676" s="1" t="str">
        <x:v>ORD-0672</x:v>
      </x:c>
      <x:c r="B676" s="4" t="d">
        <x:v>2025-04-22T00:00:00.000Z</x:v>
      </x:c>
      <x:c r="C676" s="1" t="str">
        <x:v>C-174</x:v>
      </x:c>
      <x:c r="D676" s="1" t="str">
        <x:v>North</x:v>
      </x:c>
      <x:c r="E676" s="1" t="str">
        <x:v>Home</x:v>
      </x:c>
      <x:c r="F676" s="1" t="str">
        <x:v>Desk lamp</x:v>
      </x:c>
      <x:c r="G676" s="1" t="n">
        <x:v>1</x:v>
      </x:c>
      <x:c r="H676" s="2" t="n">
        <x:v>1100</x:v>
      </x:c>
      <x:c r="I676" s="3" t="n">
        <x:v>0</x:v>
      </x:c>
      <x:c r="J676" s="2" t="n">
        <x:v>650</x:v>
      </x:c>
      <x:c r="K676" s="2" t="n">
        <x:v>80</x:v>
      </x:c>
      <x:c r="L676" s="2" t="n">
        <x:f>G676*H676</x:f>
        <x:v>1100</x:v>
      </x:c>
      <x:c r="M676" s="2" t="n">
        <x:f>ROUND(L676*(1-I676),2)</x:f>
        <x:v>1100</x:v>
      </x:c>
      <x:c r="N676" s="2" t="n">
        <x:f>G676*J676</x:f>
        <x:v>650</x:v>
      </x:c>
      <x:c r="O676" s="2" t="n">
        <x:f>M676-N676-K676</x:f>
        <x:v>370</x:v>
      </x:c>
      <x:c r="P676" s="1" t="str">
        <x:f>TEXT(B676,"yyyy-mm")</x:f>
        <x:v>2025-04</x:v>
      </x:c>
    </x:row>
    <x:row r="677">
      <x:c r="A677" s="1" t="str">
        <x:v>ORD-0673</x:v>
      </x:c>
      <x:c r="B677" s="4" t="d">
        <x:v>2025-09-05T00:00:00.000Z</x:v>
      </x:c>
      <x:c r="C677" s="1" t="str">
        <x:v>C-250</x:v>
      </x:c>
      <x:c r="D677" s="1" t="str">
        <x:v>South</x:v>
      </x:c>
      <x:c r="E677" s="1" t="str">
        <x:v>Home</x:v>
      </x:c>
      <x:c r="F677" s="1" t="str">
        <x:v>Storage box</x:v>
      </x:c>
      <x:c r="G677" s="1" t="n">
        <x:v>3</x:v>
      </x:c>
      <x:c r="H677" s="2" t="n">
        <x:v>800</x:v>
      </x:c>
      <x:c r="I677" s="3" t="n">
        <x:v>0</x:v>
      </x:c>
      <x:c r="J677" s="2" t="n">
        <x:v>420</x:v>
      </x:c>
      <x:c r="K677" s="2" t="n">
        <x:v>120</x:v>
      </x:c>
      <x:c r="L677" s="2" t="n">
        <x:f>G677*H677</x:f>
        <x:v>2400</x:v>
      </x:c>
      <x:c r="M677" s="2" t="n">
        <x:f>ROUND(L677*(1-I677),2)</x:f>
        <x:v>2400</x:v>
      </x:c>
      <x:c r="N677" s="2" t="n">
        <x:f>G677*J677</x:f>
        <x:v>1260</x:v>
      </x:c>
      <x:c r="O677" s="2" t="n">
        <x:f>M677-N677-K677</x:f>
        <x:v>1020</x:v>
      </x:c>
      <x:c r="P677" s="1" t="str">
        <x:f>TEXT(B677,"yyyy-mm")</x:f>
        <x:v>2025-09</x:v>
      </x:c>
    </x:row>
    <x:row r="678">
      <x:c r="A678" s="1" t="str">
        <x:v>ORD-0674</x:v>
      </x:c>
      <x:c r="B678" s="4" t="d">
        <x:v>2025-11-24T00:00:00.000Z</x:v>
      </x:c>
      <x:c r="C678" s="1" t="str">
        <x:v>C-099</x:v>
      </x:c>
      <x:c r="D678" s="1" t="str">
        <x:v>North</x:v>
      </x:c>
      <x:c r="E678" s="1" t="str">
        <x:v>Fashion</x:v>
      </x:c>
      <x:c r="F678" s="1" t="str">
        <x:v>Backpack</x:v>
      </x:c>
      <x:c r="G678" s="1" t="n">
        <x:v>4</x:v>
      </x:c>
      <x:c r="H678" s="2" t="n">
        <x:v>1300</x:v>
      </x:c>
      <x:c r="I678" s="3" t="n">
        <x:v>0.15</x:v>
      </x:c>
      <x:c r="J678" s="2" t="n">
        <x:v>650</x:v>
      </x:c>
      <x:c r="K678" s="2" t="n">
        <x:v>80</x:v>
      </x:c>
      <x:c r="L678" s="2" t="n">
        <x:f>G678*H678</x:f>
        <x:v>5200</x:v>
      </x:c>
      <x:c r="M678" s="2" t="n">
        <x:f>ROUND(L678*(1-I678),2)</x:f>
        <x:v>4420</x:v>
      </x:c>
      <x:c r="N678" s="2" t="n">
        <x:f>G678*J678</x:f>
        <x:v>2600</x:v>
      </x:c>
      <x:c r="O678" s="2" t="n">
        <x:f>M678-N678-K678</x:f>
        <x:v>1740</x:v>
      </x:c>
      <x:c r="P678" s="1" t="str">
        <x:f>TEXT(B678,"yyyy-mm")</x:f>
        <x:v>2025-11</x:v>
      </x:c>
    </x:row>
    <x:row r="679">
      <x:c r="A679" s="1" t="str">
        <x:v>ORD-0675</x:v>
      </x:c>
      <x:c r="B679" s="4" t="d">
        <x:v>2025-10-16T00:00:00.000Z</x:v>
      </x:c>
      <x:c r="C679" s="1" t="str">
        <x:v>C-225</x:v>
      </x:c>
      <x:c r="D679" s="1" t="str">
        <x:v>East</x:v>
      </x:c>
      <x:c r="E679" s="1" t="str">
        <x:v>Fashion</x:v>
      </x:c>
      <x:c r="F679" s="1" t="str">
        <x:v>Sneakers</x:v>
      </x:c>
      <x:c r="G679" s="1" t="n">
        <x:v>4</x:v>
      </x:c>
      <x:c r="H679" s="2" t="n">
        <x:v>2400</x:v>
      </x:c>
      <x:c r="I679" s="3" t="n">
        <x:v>0</x:v>
      </x:c>
      <x:c r="J679" s="2" t="n">
        <x:v>1200</x:v>
      </x:c>
      <x:c r="K679" s="2" t="n">
        <x:v>50</x:v>
      </x:c>
      <x:c r="L679" s="2" t="n">
        <x:f>G679*H679</x:f>
        <x:v>9600</x:v>
      </x:c>
      <x:c r="M679" s="2" t="n">
        <x:f>ROUND(L679*(1-I679),2)</x:f>
        <x:v>9600</x:v>
      </x:c>
      <x:c r="N679" s="2" t="n">
        <x:f>G679*J679</x:f>
        <x:v>4800</x:v>
      </x:c>
      <x:c r="O679" s="2" t="n">
        <x:f>M679-N679-K679</x:f>
        <x:v>4750</x:v>
      </x:c>
      <x:c r="P679" s="1" t="str">
        <x:f>TEXT(B679,"yyyy-mm")</x:f>
        <x:v>2025-10</x:v>
      </x:c>
    </x:row>
    <x:row r="680">
      <x:c r="A680" s="1" t="str">
        <x:v>ORD-0676</x:v>
      </x:c>
      <x:c r="B680" s="4" t="d">
        <x:v>2025-08-11T00:00:00.000Z</x:v>
      </x:c>
      <x:c r="C680" s="1" t="str">
        <x:v>C-240</x:v>
      </x:c>
      <x:c r="D680" s="1" t="str">
        <x:v>East</x:v>
      </x:c>
      <x:c r="E680" s="1" t="str">
        <x:v>Home</x:v>
      </x:c>
      <x:c r="F680" s="1" t="str">
        <x:v>Storage box</x:v>
      </x:c>
      <x:c r="G680" s="1" t="n">
        <x:v>2</x:v>
      </x:c>
      <x:c r="H680" s="2" t="n">
        <x:v>800</x:v>
      </x:c>
      <x:c r="I680" s="3" t="n">
        <x:v>0.1</x:v>
      </x:c>
      <x:c r="J680" s="2" t="n">
        <x:v>420</x:v>
      </x:c>
      <x:c r="K680" s="2" t="n">
        <x:v>50</x:v>
      </x:c>
      <x:c r="L680" s="2" t="n">
        <x:f>G680*H680</x:f>
        <x:v>1600</x:v>
      </x:c>
      <x:c r="M680" s="2" t="n">
        <x:f>ROUND(L680*(1-I680),2)</x:f>
        <x:v>1440</x:v>
      </x:c>
      <x:c r="N680" s="2" t="n">
        <x:f>G680*J680</x:f>
        <x:v>840</x:v>
      </x:c>
      <x:c r="O680" s="2" t="n">
        <x:f>M680-N680-K680</x:f>
        <x:v>550</x:v>
      </x:c>
      <x:c r="P680" s="1" t="str">
        <x:f>TEXT(B680,"yyyy-mm")</x:f>
        <x:v>2025-08</x:v>
      </x:c>
    </x:row>
    <x:row r="681">
      <x:c r="A681" s="1" t="str">
        <x:v>ORD-0677</x:v>
      </x:c>
      <x:c r="B681" s="4" t="d">
        <x:v>2025-08-27T00:00:00.000Z</x:v>
      </x:c>
      <x:c r="C681" s="1" t="str">
        <x:v>C-135</x:v>
      </x:c>
      <x:c r="D681" s="1" t="str">
        <x:v>East</x:v>
      </x:c>
      <x:c r="E681" s="1" t="str">
        <x:v>Home</x:v>
      </x:c>
      <x:c r="F681" s="1" t="str">
        <x:v>Desk lamp</x:v>
      </x:c>
      <x:c r="G681" s="1" t="n">
        <x:v>4</x:v>
      </x:c>
      <x:c r="H681" s="2" t="n">
        <x:v>1100</x:v>
      </x:c>
      <x:c r="I681" s="3" t="n">
        <x:v>0.1</x:v>
      </x:c>
      <x:c r="J681" s="2" t="n">
        <x:v>650</x:v>
      </x:c>
      <x:c r="K681" s="2" t="n">
        <x:v>50</x:v>
      </x:c>
      <x:c r="L681" s="2" t="n">
        <x:f>G681*H681</x:f>
        <x:v>4400</x:v>
      </x:c>
      <x:c r="M681" s="2" t="n">
        <x:f>ROUND(L681*(1-I681),2)</x:f>
        <x:v>3960</x:v>
      </x:c>
      <x:c r="N681" s="2" t="n">
        <x:f>G681*J681</x:f>
        <x:v>2600</x:v>
      </x:c>
      <x:c r="O681" s="2" t="n">
        <x:f>M681-N681-K681</x:f>
        <x:v>1310</x:v>
      </x:c>
      <x:c r="P681" s="1" t="str">
        <x:f>TEXT(B681,"yyyy-mm")</x:f>
        <x:v>2025-08</x:v>
      </x:c>
    </x:row>
    <x:row r="682">
      <x:c r="A682" s="1" t="str">
        <x:v>ORD-0678</x:v>
      </x:c>
      <x:c r="B682" s="4" t="d">
        <x:v>2025-11-24T00:00:00.000Z</x:v>
      </x:c>
      <x:c r="C682" s="1" t="str">
        <x:v>C-095</x:v>
      </x:c>
      <x:c r="D682" s="1" t="str">
        <x:v>North</x:v>
      </x:c>
      <x:c r="E682" s="1" t="str">
        <x:v>Home</x:v>
      </x:c>
      <x:c r="F682" s="1" t="str">
        <x:v>Storage box</x:v>
      </x:c>
      <x:c r="G682" s="1" t="n">
        <x:v>3</x:v>
      </x:c>
      <x:c r="H682" s="2" t="n">
        <x:v>800</x:v>
      </x:c>
      <x:c r="I682" s="3" t="n">
        <x:v>0.15</x:v>
      </x:c>
      <x:c r="J682" s="2" t="n">
        <x:v>420</x:v>
      </x:c>
      <x:c r="K682" s="2" t="n">
        <x:v>120</x:v>
      </x:c>
      <x:c r="L682" s="2" t="n">
        <x:f>G682*H682</x:f>
        <x:v>2400</x:v>
      </x:c>
      <x:c r="M682" s="2" t="n">
        <x:f>ROUND(L682*(1-I682),2)</x:f>
        <x:v>2040</x:v>
      </x:c>
      <x:c r="N682" s="2" t="n">
        <x:f>G682*J682</x:f>
        <x:v>1260</x:v>
      </x:c>
      <x:c r="O682" s="2" t="n">
        <x:f>M682-N682-K682</x:f>
        <x:v>660</x:v>
      </x:c>
      <x:c r="P682" s="1" t="str">
        <x:f>TEXT(B682,"yyyy-mm")</x:f>
        <x:v>2025-11</x:v>
      </x:c>
    </x:row>
    <x:row r="683">
      <x:c r="A683" s="1" t="str">
        <x:v>ORD-0679</x:v>
      </x:c>
      <x:c r="B683" s="4" t="d">
        <x:v>2025-04-18T00:00:00.000Z</x:v>
      </x:c>
      <x:c r="C683" s="1" t="str">
        <x:v>C-199</x:v>
      </x:c>
      <x:c r="D683" s="1" t="str">
        <x:v>South</x:v>
      </x:c>
      <x:c r="E683" s="1" t="str">
        <x:v>Electronics</x:v>
      </x:c>
      <x:c r="F683" s="1" t="str">
        <x:v>Keyboard</x:v>
      </x:c>
      <x:c r="G683" s="1" t="n">
        <x:v>4</x:v>
      </x:c>
      <x:c r="H683" s="2" t="n">
        <x:v>1500</x:v>
      </x:c>
      <x:c r="I683" s="3" t="n">
        <x:v>0.35</x:v>
      </x:c>
      <x:c r="J683" s="2" t="n">
        <x:v>900</x:v>
      </x:c>
      <x:c r="K683" s="2" t="n">
        <x:v>120</x:v>
      </x:c>
      <x:c r="L683" s="2" t="n">
        <x:f>G683*H683</x:f>
        <x:v>6000</x:v>
      </x:c>
      <x:c r="M683" s="2" t="n">
        <x:f>ROUND(L683*(1-I683),2)</x:f>
        <x:v>3900</x:v>
      </x:c>
      <x:c r="N683" s="2" t="n">
        <x:f>G683*J683</x:f>
        <x:v>3600</x:v>
      </x:c>
      <x:c r="O683" s="2" t="n">
        <x:f>M683-N683-K683</x:f>
        <x:v>180</x:v>
      </x:c>
      <x:c r="P683" s="1" t="str">
        <x:f>TEXT(B683,"yyyy-mm")</x:f>
        <x:v>2025-04</x:v>
      </x:c>
    </x:row>
    <x:row r="684">
      <x:c r="A684" s="1" t="str">
        <x:v>ORD-0680</x:v>
      </x:c>
      <x:c r="B684" s="4" t="d">
        <x:v>2025-03-14T00:00:00.000Z</x:v>
      </x:c>
      <x:c r="C684" s="1" t="str">
        <x:v>C-165</x:v>
      </x:c>
      <x:c r="D684" s="1" t="str">
        <x:v>North</x:v>
      </x:c>
      <x:c r="E684" s="1" t="str">
        <x:v>Fashion</x:v>
      </x:c>
      <x:c r="F684" s="1" t="str">
        <x:v>Sneakers</x:v>
      </x:c>
      <x:c r="G684" s="1" t="n">
        <x:v>1</x:v>
      </x:c>
      <x:c r="H684" s="2" t="n">
        <x:v>2400</x:v>
      </x:c>
      <x:c r="I684" s="3" t="n">
        <x:v>0.1</x:v>
      </x:c>
      <x:c r="J684" s="2" t="n">
        <x:v>1200</x:v>
      </x:c>
      <x:c r="K684" s="2" t="n">
        <x:v>120</x:v>
      </x:c>
      <x:c r="L684" s="2" t="n">
        <x:f>G684*H684</x:f>
        <x:v>2400</x:v>
      </x:c>
      <x:c r="M684" s="2" t="n">
        <x:f>ROUND(L684*(1-I684),2)</x:f>
        <x:v>2160</x:v>
      </x:c>
      <x:c r="N684" s="2" t="n">
        <x:f>G684*J684</x:f>
        <x:v>1200</x:v>
      </x:c>
      <x:c r="O684" s="2" t="n">
        <x:f>M684-N684-K684</x:f>
        <x:v>840</x:v>
      </x:c>
      <x:c r="P684" s="1" t="str">
        <x:f>TEXT(B684,"yyyy-mm")</x:f>
        <x:v>2025-03</x:v>
      </x:c>
    </x:row>
    <x:row r="685">
      <x:c r="A685" s="1" t="str">
        <x:v>ORD-0681</x:v>
      </x:c>
      <x:c r="B685" s="4" t="d">
        <x:v>2025-10-06T00:00:00.000Z</x:v>
      </x:c>
      <x:c r="C685" s="1" t="str">
        <x:v>C-017</x:v>
      </x:c>
      <x:c r="D685" s="1" t="str">
        <x:v>South</x:v>
      </x:c>
      <x:c r="E685" s="1" t="str">
        <x:v>Electronics</x:v>
      </x:c>
      <x:c r="F685" s="1" t="str">
        <x:v>Headphones</x:v>
      </x:c>
      <x:c r="G685" s="1" t="n">
        <x:v>1</x:v>
      </x:c>
      <x:c r="H685" s="2" t="n">
        <x:v>2200</x:v>
      </x:c>
      <x:c r="I685" s="3" t="n">
        <x:v>0.05</x:v>
      </x:c>
      <x:c r="J685" s="2" t="n">
        <x:v>1450</x:v>
      </x:c>
      <x:c r="K685" s="2" t="n">
        <x:v>80</x:v>
      </x:c>
      <x:c r="L685" s="2" t="n">
        <x:f>G685*H685</x:f>
        <x:v>2200</x:v>
      </x:c>
      <x:c r="M685" s="2" t="n">
        <x:f>ROUND(L685*(1-I685),2)</x:f>
        <x:v>2090</x:v>
      </x:c>
      <x:c r="N685" s="2" t="n">
        <x:f>G685*J685</x:f>
        <x:v>1450</x:v>
      </x:c>
      <x:c r="O685" s="2" t="n">
        <x:f>M685-N685-K685</x:f>
        <x:v>560</x:v>
      </x:c>
      <x:c r="P685" s="1" t="str">
        <x:f>TEXT(B685,"yyyy-mm")</x:f>
        <x:v>2025-10</x:v>
      </x:c>
    </x:row>
    <x:row r="686">
      <x:c r="A686" s="1" t="str">
        <x:v>ORD-0682</x:v>
      </x:c>
      <x:c r="B686" s="4" t="d">
        <x:v>2025-03-21T00:00:00.000Z</x:v>
      </x:c>
      <x:c r="C686" s="1" t="str">
        <x:v>C-199</x:v>
      </x:c>
      <x:c r="D686" s="1" t="str">
        <x:v>West</x:v>
      </x:c>
      <x:c r="E686" s="1" t="str">
        <x:v>Electronics</x:v>
      </x:c>
      <x:c r="F686" s="1" t="str">
        <x:v>Headphones</x:v>
      </x:c>
      <x:c r="G686" s="1" t="n">
        <x:v>3</x:v>
      </x:c>
      <x:c r="H686" s="2" t="n">
        <x:v>2200</x:v>
      </x:c>
      <x:c r="I686" s="3" t="n">
        <x:v>0.25</x:v>
      </x:c>
      <x:c r="J686" s="2" t="n">
        <x:v>1450</x:v>
      </x:c>
      <x:c r="K686" s="2" t="n">
        <x:v>50</x:v>
      </x:c>
      <x:c r="L686" s="2" t="n">
        <x:f>G686*H686</x:f>
        <x:v>6600</x:v>
      </x:c>
      <x:c r="M686" s="2" t="n">
        <x:f>ROUND(L686*(1-I686),2)</x:f>
        <x:v>4950</x:v>
      </x:c>
      <x:c r="N686" s="2" t="n">
        <x:f>G686*J686</x:f>
        <x:v>4350</x:v>
      </x:c>
      <x:c r="O686" s="2" t="n">
        <x:f>M686-N686-K686</x:f>
        <x:v>550</x:v>
      </x:c>
      <x:c r="P686" s="1" t="str">
        <x:f>TEXT(B686,"yyyy-mm")</x:f>
        <x:v>2025-03</x:v>
      </x:c>
    </x:row>
    <x:row r="687">
      <x:c r="A687" s="1" t="str">
        <x:v>ORD-0683</x:v>
      </x:c>
      <x:c r="B687" s="4" t="d">
        <x:v>2025-06-30T00:00:00.000Z</x:v>
      </x:c>
      <x:c r="C687" s="1" t="str">
        <x:v>C-107</x:v>
      </x:c>
      <x:c r="D687" s="1" t="str">
        <x:v>West</x:v>
      </x:c>
      <x:c r="E687" s="1" t="str">
        <x:v>Electronics</x:v>
      </x:c>
      <x:c r="F687" s="1" t="str">
        <x:v>Keyboard</x:v>
      </x:c>
      <x:c r="G687" s="1" t="n">
        <x:v>1</x:v>
      </x:c>
      <x:c r="H687" s="2" t="n">
        <x:v>1500</x:v>
      </x:c>
      <x:c r="I687" s="3" t="n">
        <x:v>0</x:v>
      </x:c>
      <x:c r="J687" s="2" t="n">
        <x:v>900</x:v>
      </x:c>
      <x:c r="K687" s="2" t="n">
        <x:v>80</x:v>
      </x:c>
      <x:c r="L687" s="2" t="n">
        <x:f>G687*H687</x:f>
        <x:v>1500</x:v>
      </x:c>
      <x:c r="M687" s="2" t="n">
        <x:f>ROUND(L687*(1-I687),2)</x:f>
        <x:v>1500</x:v>
      </x:c>
      <x:c r="N687" s="2" t="n">
        <x:f>G687*J687</x:f>
        <x:v>900</x:v>
      </x:c>
      <x:c r="O687" s="2" t="n">
        <x:f>M687-N687-K687</x:f>
        <x:v>520</x:v>
      </x:c>
      <x:c r="P687" s="1" t="str">
        <x:f>TEXT(B687,"yyyy-mm")</x:f>
        <x:v>2025-06</x:v>
      </x:c>
    </x:row>
    <x:row r="688">
      <x:c r="A688" s="1" t="str">
        <x:v>ORD-0684</x:v>
      </x:c>
      <x:c r="B688" s="4" t="d">
        <x:v>2025-11-18T00:00:00.000Z</x:v>
      </x:c>
      <x:c r="C688" s="1" t="str">
        <x:v>C-213</x:v>
      </x:c>
      <x:c r="D688" s="1" t="str">
        <x:v>East</x:v>
      </x:c>
      <x:c r="E688" s="1" t="str">
        <x:v>Electronics</x:v>
      </x:c>
      <x:c r="F688" s="1" t="str">
        <x:v>Headphones</x:v>
      </x:c>
      <x:c r="G688" s="1" t="n">
        <x:v>1</x:v>
      </x:c>
      <x:c r="H688" s="2" t="n">
        <x:v>2200</x:v>
      </x:c>
      <x:c r="I688" s="3" t="n">
        <x:v>0.1</x:v>
      </x:c>
      <x:c r="J688" s="2" t="n">
        <x:v>1450</x:v>
      </x:c>
      <x:c r="K688" s="2" t="n">
        <x:v>120</x:v>
      </x:c>
      <x:c r="L688" s="2" t="n">
        <x:f>G688*H688</x:f>
        <x:v>2200</x:v>
      </x:c>
      <x:c r="M688" s="2" t="n">
        <x:f>ROUND(L688*(1-I688),2)</x:f>
        <x:v>1980</x:v>
      </x:c>
      <x:c r="N688" s="2" t="n">
        <x:f>G688*J688</x:f>
        <x:v>1450</x:v>
      </x:c>
      <x:c r="O688" s="2" t="n">
        <x:f>M688-N688-K688</x:f>
        <x:v>410</x:v>
      </x:c>
      <x:c r="P688" s="1" t="str">
        <x:f>TEXT(B688,"yyyy-mm")</x:f>
        <x:v>2025-11</x:v>
      </x:c>
    </x:row>
    <x:row r="689">
      <x:c r="A689" s="1" t="str">
        <x:v>ORD-0685</x:v>
      </x:c>
      <x:c r="B689" s="4" t="d">
        <x:v>2025-04-03T00:00:00.000Z</x:v>
      </x:c>
      <x:c r="C689" s="1" t="str">
        <x:v>C-156</x:v>
      </x:c>
      <x:c r="D689" s="1" t="str">
        <x:v>North</x:v>
      </x:c>
      <x:c r="E689" s="1" t="str">
        <x:v>Electronics</x:v>
      </x:c>
      <x:c r="F689" s="1" t="str">
        <x:v>Headphones</x:v>
      </x:c>
      <x:c r="G689" s="1" t="n">
        <x:v>2</x:v>
      </x:c>
      <x:c r="H689" s="2" t="n">
        <x:v>2200</x:v>
      </x:c>
      <x:c r="I689" s="3" t="n">
        <x:v>0.35</x:v>
      </x:c>
      <x:c r="J689" s="2" t="n">
        <x:v>1450</x:v>
      </x:c>
      <x:c r="K689" s="2" t="n">
        <x:v>120</x:v>
      </x:c>
      <x:c r="L689" s="2" t="n">
        <x:f>G689*H689</x:f>
        <x:v>4400</x:v>
      </x:c>
      <x:c r="M689" s="2" t="n">
        <x:f>ROUND(L689*(1-I689),2)</x:f>
        <x:v>2860</x:v>
      </x:c>
      <x:c r="N689" s="2" t="n">
        <x:f>G689*J689</x:f>
        <x:v>2900</x:v>
      </x:c>
      <x:c r="O689" s="2" t="n">
        <x:f>M689-N689-K689</x:f>
        <x:v>-160</x:v>
      </x:c>
      <x:c r="P689" s="1" t="str">
        <x:f>TEXT(B689,"yyyy-mm")</x:f>
        <x:v>2025-04</x:v>
      </x:c>
    </x:row>
    <x:row r="690">
      <x:c r="A690" s="1" t="str">
        <x:v>ORD-0686</x:v>
      </x:c>
      <x:c r="B690" s="4" t="d">
        <x:v>2025-02-13T00:00:00.000Z</x:v>
      </x:c>
      <x:c r="C690" s="1" t="str">
        <x:v>C-098</x:v>
      </x:c>
      <x:c r="D690" s="1" t="str">
        <x:v>South</x:v>
      </x:c>
      <x:c r="E690" s="1" t="str">
        <x:v>Fashion</x:v>
      </x:c>
      <x:c r="F690" s="1" t="str">
        <x:v>T-shirt</x:v>
      </x:c>
      <x:c r="G690" s="1" t="n">
        <x:v>2</x:v>
      </x:c>
      <x:c r="H690" s="2" t="n">
        <x:v>700</x:v>
      </x:c>
      <x:c r="I690" s="3" t="n">
        <x:v>0.25</x:v>
      </x:c>
      <x:c r="J690" s="2" t="n">
        <x:v>300</x:v>
      </x:c>
      <x:c r="K690" s="2" t="n">
        <x:v>120</x:v>
      </x:c>
      <x:c r="L690" s="2" t="n">
        <x:f>G690*H690</x:f>
        <x:v>1400</x:v>
      </x:c>
      <x:c r="M690" s="2" t="n">
        <x:f>ROUND(L690*(1-I690),2)</x:f>
        <x:v>1050</x:v>
      </x:c>
      <x:c r="N690" s="2" t="n">
        <x:f>G690*J690</x:f>
        <x:v>600</x:v>
      </x:c>
      <x:c r="O690" s="2" t="n">
        <x:f>M690-N690-K690</x:f>
        <x:v>330</x:v>
      </x:c>
      <x:c r="P690" s="1" t="str">
        <x:f>TEXT(B690,"yyyy-mm")</x:f>
        <x:v>2025-02</x:v>
      </x:c>
    </x:row>
    <x:row r="691">
      <x:c r="A691" s="1" t="str">
        <x:v>ORD-0687</x:v>
      </x:c>
      <x:c r="B691" s="4" t="d">
        <x:v>2025-09-24T00:00:00.000Z</x:v>
      </x:c>
      <x:c r="C691" s="1" t="str">
        <x:v>C-286</x:v>
      </x:c>
      <x:c r="D691" s="1" t="str">
        <x:v>West</x:v>
      </x:c>
      <x:c r="E691" s="1" t="str">
        <x:v>Electronics</x:v>
      </x:c>
      <x:c r="F691" s="1" t="str">
        <x:v>Smartwatch</x:v>
      </x:c>
      <x:c r="G691" s="1" t="n">
        <x:v>1</x:v>
      </x:c>
      <x:c r="H691" s="2" t="n">
        <x:v>4200</x:v>
      </x:c>
      <x:c r="I691" s="3" t="n">
        <x:v>0.25</x:v>
      </x:c>
      <x:c r="J691" s="2" t="n">
        <x:v>3000</x:v>
      </x:c>
      <x:c r="K691" s="2" t="n">
        <x:v>120</x:v>
      </x:c>
      <x:c r="L691" s="2" t="n">
        <x:f>G691*H691</x:f>
        <x:v>4200</x:v>
      </x:c>
      <x:c r="M691" s="2" t="n">
        <x:f>ROUND(L691*(1-I691),2)</x:f>
        <x:v>3150</x:v>
      </x:c>
      <x:c r="N691" s="2" t="n">
        <x:f>G691*J691</x:f>
        <x:v>3000</x:v>
      </x:c>
      <x:c r="O691" s="2" t="n">
        <x:f>M691-N691-K691</x:f>
        <x:v>30</x:v>
      </x:c>
      <x:c r="P691" s="1" t="str">
        <x:f>TEXT(B691,"yyyy-mm")</x:f>
        <x:v>2025-09</x:v>
      </x:c>
    </x:row>
    <x:row r="692">
      <x:c r="A692" s="1" t="str">
        <x:v>ORD-0688</x:v>
      </x:c>
      <x:c r="B692" s="4" t="d">
        <x:v>2025-09-22T00:00:00.000Z</x:v>
      </x:c>
      <x:c r="C692" s="1" t="str">
        <x:v>C-219</x:v>
      </x:c>
      <x:c r="D692" s="1" t="str">
        <x:v>North</x:v>
      </x:c>
      <x:c r="E692" s="1" t="str">
        <x:v>Home</x:v>
      </x:c>
      <x:c r="F692" s="1" t="str">
        <x:v>Desk lamp</x:v>
      </x:c>
      <x:c r="G692" s="1" t="n">
        <x:v>2</x:v>
      </x:c>
      <x:c r="H692" s="2" t="n">
        <x:v>1100</x:v>
      </x:c>
      <x:c r="I692" s="3" t="n">
        <x:v>0.35</x:v>
      </x:c>
      <x:c r="J692" s="2" t="n">
        <x:v>650</x:v>
      </x:c>
      <x:c r="K692" s="2" t="n">
        <x:v>50</x:v>
      </x:c>
      <x:c r="L692" s="2" t="n">
        <x:f>G692*H692</x:f>
        <x:v>2200</x:v>
      </x:c>
      <x:c r="M692" s="2" t="n">
        <x:f>ROUND(L692*(1-I692),2)</x:f>
        <x:v>1430</x:v>
      </x:c>
      <x:c r="N692" s="2" t="n">
        <x:f>G692*J692</x:f>
        <x:v>1300</x:v>
      </x:c>
      <x:c r="O692" s="2" t="n">
        <x:f>M692-N692-K692</x:f>
        <x:v>80</x:v>
      </x:c>
      <x:c r="P692" s="1" t="str">
        <x:f>TEXT(B692,"yyyy-mm")</x:f>
        <x:v>2025-09</x:v>
      </x:c>
    </x:row>
    <x:row r="693">
      <x:c r="A693" s="1" t="str">
        <x:v>ORD-0689</x:v>
      </x:c>
      <x:c r="B693" s="4" t="d">
        <x:v>2025-08-22T00:00:00.000Z</x:v>
      </x:c>
      <x:c r="C693" s="1" t="str">
        <x:v>C-081</x:v>
      </x:c>
      <x:c r="D693" s="1" t="str">
        <x:v>West</x:v>
      </x:c>
      <x:c r="E693" s="1" t="str">
        <x:v>Home</x:v>
      </x:c>
      <x:c r="F693" s="1" t="str">
        <x:v>Storage box</x:v>
      </x:c>
      <x:c r="G693" s="1" t="n">
        <x:v>3</x:v>
      </x:c>
      <x:c r="H693" s="2" t="n">
        <x:v>800</x:v>
      </x:c>
      <x:c r="I693" s="3" t="n">
        <x:v>0.1</x:v>
      </x:c>
      <x:c r="J693" s="2" t="n">
        <x:v>420</x:v>
      </x:c>
      <x:c r="K693" s="2" t="n">
        <x:v>80</x:v>
      </x:c>
      <x:c r="L693" s="2" t="n">
        <x:f>G693*H693</x:f>
        <x:v>2400</x:v>
      </x:c>
      <x:c r="M693" s="2" t="n">
        <x:f>ROUND(L693*(1-I693),2)</x:f>
        <x:v>2160</x:v>
      </x:c>
      <x:c r="N693" s="2" t="n">
        <x:f>G693*J693</x:f>
        <x:v>1260</x:v>
      </x:c>
      <x:c r="O693" s="2" t="n">
        <x:f>M693-N693-K693</x:f>
        <x:v>820</x:v>
      </x:c>
      <x:c r="P693" s="1" t="str">
        <x:f>TEXT(B693,"yyyy-mm")</x:f>
        <x:v>2025-08</x:v>
      </x:c>
    </x:row>
    <x:row r="694">
      <x:c r="A694" s="1" t="str">
        <x:v>ORD-0690</x:v>
      </x:c>
      <x:c r="B694" s="4" t="d">
        <x:v>2025-08-14T00:00:00.000Z</x:v>
      </x:c>
      <x:c r="C694" s="1" t="str">
        <x:v>C-221</x:v>
      </x:c>
      <x:c r="D694" s="1" t="str">
        <x:v>East</x:v>
      </x:c>
      <x:c r="E694" s="1" t="str">
        <x:v>Fashion</x:v>
      </x:c>
      <x:c r="F694" s="1" t="str">
        <x:v>Backpack</x:v>
      </x:c>
      <x:c r="G694" s="1" t="n">
        <x:v>2</x:v>
      </x:c>
      <x:c r="H694" s="2" t="n">
        <x:v>1300</x:v>
      </x:c>
      <x:c r="I694" s="3" t="n">
        <x:v>0.1</x:v>
      </x:c>
      <x:c r="J694" s="2" t="n">
        <x:v>650</x:v>
      </x:c>
      <x:c r="K694" s="2" t="n">
        <x:v>120</x:v>
      </x:c>
      <x:c r="L694" s="2" t="n">
        <x:f>G694*H694</x:f>
        <x:v>2600</x:v>
      </x:c>
      <x:c r="M694" s="2" t="n">
        <x:f>ROUND(L694*(1-I694),2)</x:f>
        <x:v>2340</x:v>
      </x:c>
      <x:c r="N694" s="2" t="n">
        <x:f>G694*J694</x:f>
        <x:v>1300</x:v>
      </x:c>
      <x:c r="O694" s="2" t="n">
        <x:f>M694-N694-K694</x:f>
        <x:v>920</x:v>
      </x:c>
      <x:c r="P694" s="1" t="str">
        <x:f>TEXT(B694,"yyyy-mm")</x:f>
        <x:v>2025-08</x:v>
      </x:c>
    </x:row>
    <x:row r="695">
      <x:c r="A695" s="1" t="str">
        <x:v>ORD-0691</x:v>
      </x:c>
      <x:c r="B695" s="4" t="d">
        <x:v>2025-08-30T00:00:00.000Z</x:v>
      </x:c>
      <x:c r="C695" s="1" t="str">
        <x:v>C-131</x:v>
      </x:c>
      <x:c r="D695" s="1" t="str">
        <x:v>East</x:v>
      </x:c>
      <x:c r="E695" s="1" t="str">
        <x:v>Home</x:v>
      </x:c>
      <x:c r="F695" s="1" t="str">
        <x:v>Office chair</x:v>
      </x:c>
      <x:c r="G695" s="1" t="n">
        <x:v>4</x:v>
      </x:c>
      <x:c r="H695" s="2" t="n">
        <x:v>5500</x:v>
      </x:c>
      <x:c r="I695" s="3" t="n">
        <x:v>0.25</x:v>
      </x:c>
      <x:c r="J695" s="2" t="n">
        <x:v>4400</x:v>
      </x:c>
      <x:c r="K695" s="2" t="n">
        <x:v>80</x:v>
      </x:c>
      <x:c r="L695" s="2" t="n">
        <x:f>G695*H695</x:f>
        <x:v>22000</x:v>
      </x:c>
      <x:c r="M695" s="2" t="n">
        <x:f>ROUND(L695*(1-I695),2)</x:f>
        <x:v>16500</x:v>
      </x:c>
      <x:c r="N695" s="2" t="n">
        <x:f>G695*J695</x:f>
        <x:v>17600</x:v>
      </x:c>
      <x:c r="O695" s="2" t="n">
        <x:f>M695-N695-K695</x:f>
        <x:v>-1180</x:v>
      </x:c>
      <x:c r="P695" s="1" t="str">
        <x:f>TEXT(B695,"yyyy-mm")</x:f>
        <x:v>2025-08</x:v>
      </x:c>
    </x:row>
    <x:row r="696">
      <x:c r="A696" s="1" t="str">
        <x:v>ORD-0692</x:v>
      </x:c>
      <x:c r="B696" s="4" t="d">
        <x:v>2025-12-02T00:00:00.000Z</x:v>
      </x:c>
      <x:c r="C696" s="1" t="str">
        <x:v>C-146</x:v>
      </x:c>
      <x:c r="D696" s="1" t="str">
        <x:v>North</x:v>
      </x:c>
      <x:c r="E696" s="1" t="str">
        <x:v>Electronics</x:v>
      </x:c>
      <x:c r="F696" s="1" t="str">
        <x:v>Headphones</x:v>
      </x:c>
      <x:c r="G696" s="1" t="n">
        <x:v>2</x:v>
      </x:c>
      <x:c r="H696" s="2" t="n">
        <x:v>2200</x:v>
      </x:c>
      <x:c r="I696" s="3" t="n">
        <x:v>0.35</x:v>
      </x:c>
      <x:c r="J696" s="2" t="n">
        <x:v>1450</x:v>
      </x:c>
      <x:c r="K696" s="2" t="n">
        <x:v>80</x:v>
      </x:c>
      <x:c r="L696" s="2" t="n">
        <x:f>G696*H696</x:f>
        <x:v>4400</x:v>
      </x:c>
      <x:c r="M696" s="2" t="n">
        <x:f>ROUND(L696*(1-I696),2)</x:f>
        <x:v>2860</x:v>
      </x:c>
      <x:c r="N696" s="2" t="n">
        <x:f>G696*J696</x:f>
        <x:v>2900</x:v>
      </x:c>
      <x:c r="O696" s="2" t="n">
        <x:f>M696-N696-K696</x:f>
        <x:v>-120</x:v>
      </x:c>
      <x:c r="P696" s="1" t="str">
        <x:f>TEXT(B696,"yyyy-mm")</x:f>
        <x:v>2025-12</x:v>
      </x:c>
    </x:row>
    <x:row r="697">
      <x:c r="A697" s="1" t="str">
        <x:v>ORD-0693</x:v>
      </x:c>
      <x:c r="B697" s="4" t="d">
        <x:v>2025-01-28T00:00:00.000Z</x:v>
      </x:c>
      <x:c r="C697" s="1" t="str">
        <x:v>C-162</x:v>
      </x:c>
      <x:c r="D697" s="1" t="str">
        <x:v>North</x:v>
      </x:c>
      <x:c r="E697" s="1" t="str">
        <x:v>Fashion</x:v>
      </x:c>
      <x:c r="F697" s="1" t="str">
        <x:v>T-shirt</x:v>
      </x:c>
      <x:c r="G697" s="1" t="n">
        <x:v>3</x:v>
      </x:c>
      <x:c r="H697" s="2" t="n">
        <x:v>700</x:v>
      </x:c>
      <x:c r="I697" s="3" t="n">
        <x:v>0.05</x:v>
      </x:c>
      <x:c r="J697" s="2" t="n">
        <x:v>300</x:v>
      </x:c>
      <x:c r="K697" s="2" t="n">
        <x:v>120</x:v>
      </x:c>
      <x:c r="L697" s="2" t="n">
        <x:f>G697*H697</x:f>
        <x:v>2100</x:v>
      </x:c>
      <x:c r="M697" s="2" t="n">
        <x:f>ROUND(L697*(1-I697),2)</x:f>
        <x:v>1995</x:v>
      </x:c>
      <x:c r="N697" s="2" t="n">
        <x:f>G697*J697</x:f>
        <x:v>900</x:v>
      </x:c>
      <x:c r="O697" s="2" t="n">
        <x:f>M697-N697-K697</x:f>
        <x:v>975</x:v>
      </x:c>
      <x:c r="P697" s="1" t="str">
        <x:f>TEXT(B697,"yyyy-mm")</x:f>
        <x:v>2025-01</x:v>
      </x:c>
    </x:row>
    <x:row r="698">
      <x:c r="A698" s="1" t="str">
        <x:v>ORD-0694</x:v>
      </x:c>
      <x:c r="B698" s="4" t="d">
        <x:v>2025-08-02T00:00:00.000Z</x:v>
      </x:c>
      <x:c r="C698" s="1" t="str">
        <x:v>C-236</x:v>
      </x:c>
      <x:c r="D698" s="1" t="str">
        <x:v>East</x:v>
      </x:c>
      <x:c r="E698" s="1" t="str">
        <x:v>Electronics</x:v>
      </x:c>
      <x:c r="F698" s="1" t="str">
        <x:v>Smartwatch</x:v>
      </x:c>
      <x:c r="G698" s="1" t="n">
        <x:v>2</x:v>
      </x:c>
      <x:c r="H698" s="2" t="n">
        <x:v>4200</x:v>
      </x:c>
      <x:c r="I698" s="3" t="n">
        <x:v>0</x:v>
      </x:c>
      <x:c r="J698" s="2" t="n">
        <x:v>3000</x:v>
      </x:c>
      <x:c r="K698" s="2" t="n">
        <x:v>50</x:v>
      </x:c>
      <x:c r="L698" s="2" t="n">
        <x:f>G698*H698</x:f>
        <x:v>8400</x:v>
      </x:c>
      <x:c r="M698" s="2" t="n">
        <x:f>ROUND(L698*(1-I698),2)</x:f>
        <x:v>8400</x:v>
      </x:c>
      <x:c r="N698" s="2" t="n">
        <x:f>G698*J698</x:f>
        <x:v>6000</x:v>
      </x:c>
      <x:c r="O698" s="2" t="n">
        <x:f>M698-N698-K698</x:f>
        <x:v>2350</x:v>
      </x:c>
      <x:c r="P698" s="1" t="str">
        <x:f>TEXT(B698,"yyyy-mm")</x:f>
        <x:v>2025-08</x:v>
      </x:c>
    </x:row>
    <x:row r="699">
      <x:c r="A699" s="1" t="str">
        <x:v>ORD-0695</x:v>
      </x:c>
      <x:c r="B699" s="4" t="d">
        <x:v>2025-04-09T00:00:00.000Z</x:v>
      </x:c>
      <x:c r="C699" s="1" t="str">
        <x:v>C-154</x:v>
      </x:c>
      <x:c r="D699" s="1" t="str">
        <x:v>North</x:v>
      </x:c>
      <x:c r="E699" s="1" t="str">
        <x:v>Fashion</x:v>
      </x:c>
      <x:c r="F699" s="1" t="str">
        <x:v>T-shirt</x:v>
      </x:c>
      <x:c r="G699" s="1" t="n">
        <x:v>4</x:v>
      </x:c>
      <x:c r="H699" s="2" t="n">
        <x:v>700</x:v>
      </x:c>
      <x:c r="I699" s="3" t="n">
        <x:v>0.05</x:v>
      </x:c>
      <x:c r="J699" s="2" t="n">
        <x:v>300</x:v>
      </x:c>
      <x:c r="K699" s="2" t="n">
        <x:v>120</x:v>
      </x:c>
      <x:c r="L699" s="2" t="n">
        <x:f>G699*H699</x:f>
        <x:v>2800</x:v>
      </x:c>
      <x:c r="M699" s="2" t="n">
        <x:f>ROUND(L699*(1-I699),2)</x:f>
        <x:v>2660</x:v>
      </x:c>
      <x:c r="N699" s="2" t="n">
        <x:f>G699*J699</x:f>
        <x:v>1200</x:v>
      </x:c>
      <x:c r="O699" s="2" t="n">
        <x:f>M699-N699-K699</x:f>
        <x:v>1340</x:v>
      </x:c>
      <x:c r="P699" s="1" t="str">
        <x:f>TEXT(B699,"yyyy-mm")</x:f>
        <x:v>2025-04</x:v>
      </x:c>
    </x:row>
    <x:row r="700">
      <x:c r="A700" s="1" t="str">
        <x:v>ORD-0696</x:v>
      </x:c>
      <x:c r="B700" s="4" t="d">
        <x:v>2025-12-11T00:00:00.000Z</x:v>
      </x:c>
      <x:c r="C700" s="1" t="str">
        <x:v>C-248</x:v>
      </x:c>
      <x:c r="D700" s="1" t="str">
        <x:v>South</x:v>
      </x:c>
      <x:c r="E700" s="1" t="str">
        <x:v>Electronics</x:v>
      </x:c>
      <x:c r="F700" s="1" t="str">
        <x:v>Keyboard</x:v>
      </x:c>
      <x:c r="G700" s="1" t="n">
        <x:v>4</x:v>
      </x:c>
      <x:c r="H700" s="2" t="n">
        <x:v>1500</x:v>
      </x:c>
      <x:c r="I700" s="3" t="n">
        <x:v>0.35</x:v>
      </x:c>
      <x:c r="J700" s="2" t="n">
        <x:v>900</x:v>
      </x:c>
      <x:c r="K700" s="2" t="n">
        <x:v>120</x:v>
      </x:c>
      <x:c r="L700" s="2" t="n">
        <x:f>G700*H700</x:f>
        <x:v>6000</x:v>
      </x:c>
      <x:c r="M700" s="2" t="n">
        <x:f>ROUND(L700*(1-I700),2)</x:f>
        <x:v>3900</x:v>
      </x:c>
      <x:c r="N700" s="2" t="n">
        <x:f>G700*J700</x:f>
        <x:v>3600</x:v>
      </x:c>
      <x:c r="O700" s="2" t="n">
        <x:f>M700-N700-K700</x:f>
        <x:v>180</x:v>
      </x:c>
      <x:c r="P700" s="1" t="str">
        <x:f>TEXT(B700,"yyyy-mm")</x:f>
        <x:v>2025-12</x:v>
      </x:c>
    </x:row>
    <x:row r="701">
      <x:c r="A701" s="1" t="str">
        <x:v>ORD-0697</x:v>
      </x:c>
      <x:c r="B701" s="4" t="d">
        <x:v>2025-10-21T00:00:00.000Z</x:v>
      </x:c>
      <x:c r="C701" s="1" t="str">
        <x:v>C-154</x:v>
      </x:c>
      <x:c r="D701" s="1" t="str">
        <x:v>North</x:v>
      </x:c>
      <x:c r="E701" s="1" t="str">
        <x:v>Electronics</x:v>
      </x:c>
      <x:c r="F701" s="1" t="str">
        <x:v>Keyboard</x:v>
      </x:c>
      <x:c r="G701" s="1" t="n">
        <x:v>4</x:v>
      </x:c>
      <x:c r="H701" s="2" t="n">
        <x:v>1500</x:v>
      </x:c>
      <x:c r="I701" s="3" t="n">
        <x:v>0.25</x:v>
      </x:c>
      <x:c r="J701" s="2" t="n">
        <x:v>900</x:v>
      </x:c>
      <x:c r="K701" s="2" t="n">
        <x:v>50</x:v>
      </x:c>
      <x:c r="L701" s="2" t="n">
        <x:f>G701*H701</x:f>
        <x:v>6000</x:v>
      </x:c>
      <x:c r="M701" s="2" t="n">
        <x:f>ROUND(L701*(1-I701),2)</x:f>
        <x:v>4500</x:v>
      </x:c>
      <x:c r="N701" s="2" t="n">
        <x:f>G701*J701</x:f>
        <x:v>3600</x:v>
      </x:c>
      <x:c r="O701" s="2" t="n">
        <x:f>M701-N701-K701</x:f>
        <x:v>850</x:v>
      </x:c>
      <x:c r="P701" s="1" t="str">
        <x:f>TEXT(B701,"yyyy-mm")</x:f>
        <x:v>2025-10</x:v>
      </x:c>
    </x:row>
    <x:row r="702">
      <x:c r="A702" s="1" t="str">
        <x:v>ORD-0698</x:v>
      </x:c>
      <x:c r="B702" s="4" t="d">
        <x:v>2025-11-29T00:00:00.000Z</x:v>
      </x:c>
      <x:c r="C702" s="1" t="str">
        <x:v>C-223</x:v>
      </x:c>
      <x:c r="D702" s="1" t="str">
        <x:v>West</x:v>
      </x:c>
      <x:c r="E702" s="1" t="str">
        <x:v>Fashion</x:v>
      </x:c>
      <x:c r="F702" s="1" t="str">
        <x:v>Backpack</x:v>
      </x:c>
      <x:c r="G702" s="1" t="n">
        <x:v>1</x:v>
      </x:c>
      <x:c r="H702" s="2" t="n">
        <x:v>1300</x:v>
      </x:c>
      <x:c r="I702" s="3" t="n">
        <x:v>0.1</x:v>
      </x:c>
      <x:c r="J702" s="2" t="n">
        <x:v>650</x:v>
      </x:c>
      <x:c r="K702" s="2" t="n">
        <x:v>50</x:v>
      </x:c>
      <x:c r="L702" s="2" t="n">
        <x:f>G702*H702</x:f>
        <x:v>1300</x:v>
      </x:c>
      <x:c r="M702" s="2" t="n">
        <x:f>ROUND(L702*(1-I702),2)</x:f>
        <x:v>1170</x:v>
      </x:c>
      <x:c r="N702" s="2" t="n">
        <x:f>G702*J702</x:f>
        <x:v>650</x:v>
      </x:c>
      <x:c r="O702" s="2" t="n">
        <x:f>M702-N702-K702</x:f>
        <x:v>470</x:v>
      </x:c>
      <x:c r="P702" s="1" t="str">
        <x:f>TEXT(B702,"yyyy-mm")</x:f>
        <x:v>2025-11</x:v>
      </x:c>
    </x:row>
    <x:row r="703">
      <x:c r="A703" s="1" t="str">
        <x:v>ORD-0699</x:v>
      </x:c>
      <x:c r="B703" s="4" t="d">
        <x:v>2025-10-25T00:00:00.000Z</x:v>
      </x:c>
      <x:c r="C703" s="1" t="str">
        <x:v>C-196</x:v>
      </x:c>
      <x:c r="D703" s="1" t="str">
        <x:v>North</x:v>
      </x:c>
      <x:c r="E703" s="1" t="str">
        <x:v>Electronics</x:v>
      </x:c>
      <x:c r="F703" s="1" t="str">
        <x:v>Headphones</x:v>
      </x:c>
      <x:c r="G703" s="1" t="n">
        <x:v>3</x:v>
      </x:c>
      <x:c r="H703" s="2" t="n">
        <x:v>2200</x:v>
      </x:c>
      <x:c r="I703" s="3" t="n">
        <x:v>0.35</x:v>
      </x:c>
      <x:c r="J703" s="2" t="n">
        <x:v>1450</x:v>
      </x:c>
      <x:c r="K703" s="2" t="n">
        <x:v>120</x:v>
      </x:c>
      <x:c r="L703" s="2" t="n">
        <x:f>G703*H703</x:f>
        <x:v>6600</x:v>
      </x:c>
      <x:c r="M703" s="2" t="n">
        <x:f>ROUND(L703*(1-I703),2)</x:f>
        <x:v>4290</x:v>
      </x:c>
      <x:c r="N703" s="2" t="n">
        <x:f>G703*J703</x:f>
        <x:v>4350</x:v>
      </x:c>
      <x:c r="O703" s="2" t="n">
        <x:f>M703-N703-K703</x:f>
        <x:v>-180</x:v>
      </x:c>
      <x:c r="P703" s="1" t="str">
        <x:f>TEXT(B703,"yyyy-mm")</x:f>
        <x:v>2025-10</x:v>
      </x:c>
    </x:row>
    <x:row r="704">
      <x:c r="A704" s="1" t="str">
        <x:v>ORD-0700</x:v>
      </x:c>
      <x:c r="B704" s="4" t="d">
        <x:v>2025-01-05T00:00:00.000Z</x:v>
      </x:c>
      <x:c r="C704" s="1" t="str">
        <x:v>C-168</x:v>
      </x:c>
      <x:c r="D704" s="1" t="str">
        <x:v>South</x:v>
      </x:c>
      <x:c r="E704" s="1" t="str">
        <x:v>Home</x:v>
      </x:c>
      <x:c r="F704" s="1" t="str">
        <x:v>Storage box</x:v>
      </x:c>
      <x:c r="G704" s="1" t="n">
        <x:v>2</x:v>
      </x:c>
      <x:c r="H704" s="2" t="n">
        <x:v>800</x:v>
      </x:c>
      <x:c r="I704" s="3" t="n">
        <x:v>0.25</x:v>
      </x:c>
      <x:c r="J704" s="2" t="n">
        <x:v>420</x:v>
      </x:c>
      <x:c r="K704" s="2" t="n">
        <x:v>50</x:v>
      </x:c>
      <x:c r="L704" s="2" t="n">
        <x:f>G704*H704</x:f>
        <x:v>1600</x:v>
      </x:c>
      <x:c r="M704" s="2" t="n">
        <x:f>ROUND(L704*(1-I704),2)</x:f>
        <x:v>1200</x:v>
      </x:c>
      <x:c r="N704" s="2" t="n">
        <x:f>G704*J704</x:f>
        <x:v>840</x:v>
      </x:c>
      <x:c r="O704" s="2" t="n">
        <x:f>M704-N704-K704</x:f>
        <x:v>310</x:v>
      </x:c>
      <x:c r="P704" s="1" t="str">
        <x:f>TEXT(B704,"yyyy-mm")</x:f>
        <x:v>2025-01</x:v>
      </x:c>
    </x:row>
    <x:row r="705">
      <x:c r="A705" s="1" t="str">
        <x:v>ORD-0701</x:v>
      </x:c>
      <x:c r="B705" s="4" t="d">
        <x:v>2025-10-25T00:00:00.000Z</x:v>
      </x:c>
      <x:c r="C705" s="1" t="str">
        <x:v>C-295</x:v>
      </x:c>
      <x:c r="D705" s="1" t="str">
        <x:v>North</x:v>
      </x:c>
      <x:c r="E705" s="1" t="str">
        <x:v>Home</x:v>
      </x:c>
      <x:c r="F705" s="1" t="str">
        <x:v>Office chair</x:v>
      </x:c>
      <x:c r="G705" s="1" t="n">
        <x:v>2</x:v>
      </x:c>
      <x:c r="H705" s="2" t="n">
        <x:v>5500</x:v>
      </x:c>
      <x:c r="I705" s="3" t="n">
        <x:v>0.15</x:v>
      </x:c>
      <x:c r="J705" s="2" t="n">
        <x:v>4400</x:v>
      </x:c>
      <x:c r="K705" s="2" t="n">
        <x:v>80</x:v>
      </x:c>
      <x:c r="L705" s="2" t="n">
        <x:f>G705*H705</x:f>
        <x:v>11000</x:v>
      </x:c>
      <x:c r="M705" s="2" t="n">
        <x:f>ROUND(L705*(1-I705),2)</x:f>
        <x:v>9350</x:v>
      </x:c>
      <x:c r="N705" s="2" t="n">
        <x:f>G705*J705</x:f>
        <x:v>8800</x:v>
      </x:c>
      <x:c r="O705" s="2" t="n">
        <x:f>M705-N705-K705</x:f>
        <x:v>470</x:v>
      </x:c>
      <x:c r="P705" s="1" t="str">
        <x:f>TEXT(B705,"yyyy-mm")</x:f>
        <x:v>2025-10</x:v>
      </x:c>
    </x:row>
    <x:row r="706">
      <x:c r="A706" s="1" t="str">
        <x:v>ORD-0702</x:v>
      </x:c>
      <x:c r="B706" s="4" t="d">
        <x:v>2025-05-05T00:00:00.000Z</x:v>
      </x:c>
      <x:c r="C706" s="1" t="str">
        <x:v>C-173</x:v>
      </x:c>
      <x:c r="D706" s="1" t="str">
        <x:v>North</x:v>
      </x:c>
      <x:c r="E706" s="1" t="str">
        <x:v>Home</x:v>
      </x:c>
      <x:c r="F706" s="1" t="str">
        <x:v>Office chair</x:v>
      </x:c>
      <x:c r="G706" s="1" t="n">
        <x:v>4</x:v>
      </x:c>
      <x:c r="H706" s="2" t="n">
        <x:v>5500</x:v>
      </x:c>
      <x:c r="I706" s="3" t="n">
        <x:v>0.05</x:v>
      </x:c>
      <x:c r="J706" s="2" t="n">
        <x:v>4400</x:v>
      </x:c>
      <x:c r="K706" s="2" t="n">
        <x:v>120</x:v>
      </x:c>
      <x:c r="L706" s="2" t="n">
        <x:f>G706*H706</x:f>
        <x:v>22000</x:v>
      </x:c>
      <x:c r="M706" s="2" t="n">
        <x:f>ROUND(L706*(1-I706),2)</x:f>
        <x:v>20900</x:v>
      </x:c>
      <x:c r="N706" s="2" t="n">
        <x:f>G706*J706</x:f>
        <x:v>17600</x:v>
      </x:c>
      <x:c r="O706" s="2" t="n">
        <x:f>M706-N706-K706</x:f>
        <x:v>3180</x:v>
      </x:c>
      <x:c r="P706" s="1" t="str">
        <x:f>TEXT(B706,"yyyy-mm")</x:f>
        <x:v>2025-05</x:v>
      </x:c>
    </x:row>
    <x:row r="707">
      <x:c r="A707" s="1" t="str">
        <x:v>ORD-0703</x:v>
      </x:c>
      <x:c r="B707" s="4" t="d">
        <x:v>2025-10-09T00:00:00.000Z</x:v>
      </x:c>
      <x:c r="C707" s="1" t="str">
        <x:v>C-044</x:v>
      </x:c>
      <x:c r="D707" s="1" t="str">
        <x:v>West</x:v>
      </x:c>
      <x:c r="E707" s="1" t="str">
        <x:v>Home</x:v>
      </x:c>
      <x:c r="F707" s="1" t="str">
        <x:v>Storage box</x:v>
      </x:c>
      <x:c r="G707" s="1" t="n">
        <x:v>4</x:v>
      </x:c>
      <x:c r="H707" s="2" t="n">
        <x:v>800</x:v>
      </x:c>
      <x:c r="I707" s="3" t="n">
        <x:v>0.15</x:v>
      </x:c>
      <x:c r="J707" s="2" t="n">
        <x:v>420</x:v>
      </x:c>
      <x:c r="K707" s="2" t="n">
        <x:v>120</x:v>
      </x:c>
      <x:c r="L707" s="2" t="n">
        <x:f>G707*H707</x:f>
        <x:v>3200</x:v>
      </x:c>
      <x:c r="M707" s="2" t="n">
        <x:f>ROUND(L707*(1-I707),2)</x:f>
        <x:v>2720</x:v>
      </x:c>
      <x:c r="N707" s="2" t="n">
        <x:f>G707*J707</x:f>
        <x:v>1680</x:v>
      </x:c>
      <x:c r="O707" s="2" t="n">
        <x:f>M707-N707-K707</x:f>
        <x:v>920</x:v>
      </x:c>
      <x:c r="P707" s="1" t="str">
        <x:f>TEXT(B707,"yyyy-mm")</x:f>
        <x:v>2025-10</x:v>
      </x:c>
    </x:row>
    <x:row r="708">
      <x:c r="A708" s="1" t="str">
        <x:v>ORD-0704</x:v>
      </x:c>
      <x:c r="B708" s="4" t="d">
        <x:v>2025-03-18T00:00:00.000Z</x:v>
      </x:c>
      <x:c r="C708" s="1" t="str">
        <x:v>C-102</x:v>
      </x:c>
      <x:c r="D708" s="1" t="str">
        <x:v>West</x:v>
      </x:c>
      <x:c r="E708" s="1" t="str">
        <x:v>Electronics</x:v>
      </x:c>
      <x:c r="F708" s="1" t="str">
        <x:v>Smartwatch</x:v>
      </x:c>
      <x:c r="G708" s="1" t="n">
        <x:v>4</x:v>
      </x:c>
      <x:c r="H708" s="2" t="n">
        <x:v>4200</x:v>
      </x:c>
      <x:c r="I708" s="3" t="n">
        <x:v>0.15</x:v>
      </x:c>
      <x:c r="J708" s="2" t="n">
        <x:v>3000</x:v>
      </x:c>
      <x:c r="K708" s="2" t="n">
        <x:v>120</x:v>
      </x:c>
      <x:c r="L708" s="2" t="n">
        <x:f>G708*H708</x:f>
        <x:v>16800</x:v>
      </x:c>
      <x:c r="M708" s="2" t="n">
        <x:f>ROUND(L708*(1-I708),2)</x:f>
        <x:v>14280</x:v>
      </x:c>
      <x:c r="N708" s="2" t="n">
        <x:f>G708*J708</x:f>
        <x:v>12000</x:v>
      </x:c>
      <x:c r="O708" s="2" t="n">
        <x:f>M708-N708-K708</x:f>
        <x:v>2160</x:v>
      </x:c>
      <x:c r="P708" s="1" t="str">
        <x:f>TEXT(B708,"yyyy-mm")</x:f>
        <x:v>2025-03</x:v>
      </x:c>
    </x:row>
    <x:row r="709">
      <x:c r="A709" s="1" t="str">
        <x:v>ORD-0705</x:v>
      </x:c>
      <x:c r="B709" s="4" t="d">
        <x:v>2025-08-24T00:00:00.000Z</x:v>
      </x:c>
      <x:c r="C709" s="1" t="str">
        <x:v>C-269</x:v>
      </x:c>
      <x:c r="D709" s="1" t="str">
        <x:v>South</x:v>
      </x:c>
      <x:c r="E709" s="1" t="str">
        <x:v>Home</x:v>
      </x:c>
      <x:c r="F709" s="1" t="str">
        <x:v>Storage box</x:v>
      </x:c>
      <x:c r="G709" s="1" t="n">
        <x:v>2</x:v>
      </x:c>
      <x:c r="H709" s="2" t="n">
        <x:v>800</x:v>
      </x:c>
      <x:c r="I709" s="3" t="n">
        <x:v>0.25</x:v>
      </x:c>
      <x:c r="J709" s="2" t="n">
        <x:v>420</x:v>
      </x:c>
      <x:c r="K709" s="2" t="n">
        <x:v>50</x:v>
      </x:c>
      <x:c r="L709" s="2" t="n">
        <x:f>G709*H709</x:f>
        <x:v>1600</x:v>
      </x:c>
      <x:c r="M709" s="2" t="n">
        <x:f>ROUND(L709*(1-I709),2)</x:f>
        <x:v>1200</x:v>
      </x:c>
      <x:c r="N709" s="2" t="n">
        <x:f>G709*J709</x:f>
        <x:v>840</x:v>
      </x:c>
      <x:c r="O709" s="2" t="n">
        <x:f>M709-N709-K709</x:f>
        <x:v>310</x:v>
      </x:c>
      <x:c r="P709" s="1" t="str">
        <x:f>TEXT(B709,"yyyy-mm")</x:f>
        <x:v>2025-08</x:v>
      </x:c>
    </x:row>
    <x:row r="710">
      <x:c r="A710" s="1" t="str">
        <x:v>ORD-0706</x:v>
      </x:c>
      <x:c r="B710" s="4" t="d">
        <x:v>2025-04-22T00:00:00.000Z</x:v>
      </x:c>
      <x:c r="C710" s="1" t="str">
        <x:v>C-295</x:v>
      </x:c>
      <x:c r="D710" s="1" t="str">
        <x:v>North</x:v>
      </x:c>
      <x:c r="E710" s="1" t="str">
        <x:v>Home</x:v>
      </x:c>
      <x:c r="F710" s="1" t="str">
        <x:v>Office chair</x:v>
      </x:c>
      <x:c r="G710" s="1" t="n">
        <x:v>1</x:v>
      </x:c>
      <x:c r="H710" s="2" t="n">
        <x:v>5500</x:v>
      </x:c>
      <x:c r="I710" s="3" t="n">
        <x:v>0.1</x:v>
      </x:c>
      <x:c r="J710" s="2" t="n">
        <x:v>4400</x:v>
      </x:c>
      <x:c r="K710" s="2" t="n">
        <x:v>120</x:v>
      </x:c>
      <x:c r="L710" s="2" t="n">
        <x:f>G710*H710</x:f>
        <x:v>5500</x:v>
      </x:c>
      <x:c r="M710" s="2" t="n">
        <x:f>ROUND(L710*(1-I710),2)</x:f>
        <x:v>4950</x:v>
      </x:c>
      <x:c r="N710" s="2" t="n">
        <x:f>G710*J710</x:f>
        <x:v>4400</x:v>
      </x:c>
      <x:c r="O710" s="2" t="n">
        <x:f>M710-N710-K710</x:f>
        <x:v>430</x:v>
      </x:c>
      <x:c r="P710" s="1" t="str">
        <x:f>TEXT(B710,"yyyy-mm")</x:f>
        <x:v>2025-04</x:v>
      </x:c>
    </x:row>
    <x:row r="711">
      <x:c r="A711" s="1" t="str">
        <x:v>ORD-0707</x:v>
      </x:c>
      <x:c r="B711" s="4" t="d">
        <x:v>2025-07-07T00:00:00.000Z</x:v>
      </x:c>
      <x:c r="C711" s="1" t="str">
        <x:v>C-165</x:v>
      </x:c>
      <x:c r="D711" s="1" t="str">
        <x:v>East</x:v>
      </x:c>
      <x:c r="E711" s="1" t="str">
        <x:v>Fashion</x:v>
      </x:c>
      <x:c r="F711" s="1" t="str">
        <x:v>Backpack</x:v>
      </x:c>
      <x:c r="G711" s="1" t="n">
        <x:v>1</x:v>
      </x:c>
      <x:c r="H711" s="2" t="n">
        <x:v>1300</x:v>
      </x:c>
      <x:c r="I711" s="3" t="n">
        <x:v>0.1</x:v>
      </x:c>
      <x:c r="J711" s="2" t="n">
        <x:v>650</x:v>
      </x:c>
      <x:c r="K711" s="2" t="n">
        <x:v>80</x:v>
      </x:c>
      <x:c r="L711" s="2" t="n">
        <x:f>G711*H711</x:f>
        <x:v>1300</x:v>
      </x:c>
      <x:c r="M711" s="2" t="n">
        <x:f>ROUND(L711*(1-I711),2)</x:f>
        <x:v>1170</x:v>
      </x:c>
      <x:c r="N711" s="2" t="n">
        <x:f>G711*J711</x:f>
        <x:v>650</x:v>
      </x:c>
      <x:c r="O711" s="2" t="n">
        <x:f>M711-N711-K711</x:f>
        <x:v>440</x:v>
      </x:c>
      <x:c r="P711" s="1" t="str">
        <x:f>TEXT(B711,"yyyy-mm")</x:f>
        <x:v>2025-07</x:v>
      </x:c>
    </x:row>
    <x:row r="712">
      <x:c r="A712" s="1" t="str">
        <x:v>ORD-0708</x:v>
      </x:c>
      <x:c r="B712" s="4" t="d">
        <x:v>2025-03-27T00:00:00.000Z</x:v>
      </x:c>
      <x:c r="C712" s="1" t="str">
        <x:v>C-227</x:v>
      </x:c>
      <x:c r="D712" s="1" t="str">
        <x:v>South</x:v>
      </x:c>
      <x:c r="E712" s="1" t="str">
        <x:v>Fashion</x:v>
      </x:c>
      <x:c r="F712" s="1" t="str">
        <x:v>Backpack</x:v>
      </x:c>
      <x:c r="G712" s="1" t="n">
        <x:v>4</x:v>
      </x:c>
      <x:c r="H712" s="2" t="n">
        <x:v>1300</x:v>
      </x:c>
      <x:c r="I712" s="3" t="n">
        <x:v>0.25</x:v>
      </x:c>
      <x:c r="J712" s="2" t="n">
        <x:v>650</x:v>
      </x:c>
      <x:c r="K712" s="2" t="n">
        <x:v>50</x:v>
      </x:c>
      <x:c r="L712" s="2" t="n">
        <x:f>G712*H712</x:f>
        <x:v>5200</x:v>
      </x:c>
      <x:c r="M712" s="2" t="n">
        <x:f>ROUND(L712*(1-I712),2)</x:f>
        <x:v>3900</x:v>
      </x:c>
      <x:c r="N712" s="2" t="n">
        <x:f>G712*J712</x:f>
        <x:v>2600</x:v>
      </x:c>
      <x:c r="O712" s="2" t="n">
        <x:f>M712-N712-K712</x:f>
        <x:v>1250</x:v>
      </x:c>
      <x:c r="P712" s="1" t="str">
        <x:f>TEXT(B712,"yyyy-mm")</x:f>
        <x:v>2025-03</x:v>
      </x:c>
    </x:row>
    <x:row r="713">
      <x:c r="A713" s="1" t="str">
        <x:v>ORD-0709</x:v>
      </x:c>
      <x:c r="B713" s="4" t="d">
        <x:v>2025-12-22T00:00:00.000Z</x:v>
      </x:c>
      <x:c r="C713" s="1" t="str">
        <x:v>C-192</x:v>
      </x:c>
      <x:c r="D713" s="1" t="str">
        <x:v>South</x:v>
      </x:c>
      <x:c r="E713" s="1" t="str">
        <x:v>Fashion</x:v>
      </x:c>
      <x:c r="F713" s="1" t="str">
        <x:v>T-shirt</x:v>
      </x:c>
      <x:c r="G713" s="1" t="n">
        <x:v>1</x:v>
      </x:c>
      <x:c r="H713" s="2" t="n">
        <x:v>700</x:v>
      </x:c>
      <x:c r="I713" s="3" t="n">
        <x:v>0.05</x:v>
      </x:c>
      <x:c r="J713" s="2" t="n">
        <x:v>300</x:v>
      </x:c>
      <x:c r="K713" s="2" t="n">
        <x:v>50</x:v>
      </x:c>
      <x:c r="L713" s="2" t="n">
        <x:f>G713*H713</x:f>
        <x:v>700</x:v>
      </x:c>
      <x:c r="M713" s="2" t="n">
        <x:f>ROUND(L713*(1-I713),2)</x:f>
        <x:v>665</x:v>
      </x:c>
      <x:c r="N713" s="2" t="n">
        <x:f>G713*J713</x:f>
        <x:v>300</x:v>
      </x:c>
      <x:c r="O713" s="2" t="n">
        <x:f>M713-N713-K713</x:f>
        <x:v>315</x:v>
      </x:c>
      <x:c r="P713" s="1" t="str">
        <x:f>TEXT(B713,"yyyy-mm")</x:f>
        <x:v>2025-12</x:v>
      </x:c>
    </x:row>
    <x:row r="714">
      <x:c r="A714" s="1" t="str">
        <x:v>ORD-0710</x:v>
      </x:c>
      <x:c r="B714" s="4" t="d">
        <x:v>2025-10-30T00:00:00.000Z</x:v>
      </x:c>
      <x:c r="C714" s="1" t="str">
        <x:v>C-076</x:v>
      </x:c>
      <x:c r="D714" s="1" t="str">
        <x:v>East</x:v>
      </x:c>
      <x:c r="E714" s="1" t="str">
        <x:v>Fashion</x:v>
      </x:c>
      <x:c r="F714" s="1" t="str">
        <x:v>T-shirt</x:v>
      </x:c>
      <x:c r="G714" s="1" t="n">
        <x:v>1</x:v>
      </x:c>
      <x:c r="H714" s="2" t="n">
        <x:v>700</x:v>
      </x:c>
      <x:c r="I714" s="3" t="n">
        <x:v>0.25</x:v>
      </x:c>
      <x:c r="J714" s="2" t="n">
        <x:v>300</x:v>
      </x:c>
      <x:c r="K714" s="2" t="n">
        <x:v>80</x:v>
      </x:c>
      <x:c r="L714" s="2" t="n">
        <x:f>G714*H714</x:f>
        <x:v>700</x:v>
      </x:c>
      <x:c r="M714" s="2" t="n">
        <x:f>ROUND(L714*(1-I714),2)</x:f>
        <x:v>525</x:v>
      </x:c>
      <x:c r="N714" s="2" t="n">
        <x:f>G714*J714</x:f>
        <x:v>300</x:v>
      </x:c>
      <x:c r="O714" s="2" t="n">
        <x:f>M714-N714-K714</x:f>
        <x:v>145</x:v>
      </x:c>
      <x:c r="P714" s="1" t="str">
        <x:f>TEXT(B714,"yyyy-mm")</x:f>
        <x:v>2025-10</x:v>
      </x:c>
    </x:row>
    <x:row r="715">
      <x:c r="A715" s="1" t="str">
        <x:v>ORD-0711</x:v>
      </x:c>
      <x:c r="B715" s="4" t="d">
        <x:v>2025-10-15T00:00:00.000Z</x:v>
      </x:c>
      <x:c r="C715" s="1" t="str">
        <x:v>C-242</x:v>
      </x:c>
      <x:c r="D715" s="1" t="str">
        <x:v>North</x:v>
      </x:c>
      <x:c r="E715" s="1" t="str">
        <x:v>Electronics</x:v>
      </x:c>
      <x:c r="F715" s="1" t="str">
        <x:v>Keyboard</x:v>
      </x:c>
      <x:c r="G715" s="1" t="n">
        <x:v>3</x:v>
      </x:c>
      <x:c r="H715" s="2" t="n">
        <x:v>1500</x:v>
      </x:c>
      <x:c r="I715" s="3" t="n">
        <x:v>0.1</x:v>
      </x:c>
      <x:c r="J715" s="2" t="n">
        <x:v>900</x:v>
      </x:c>
      <x:c r="K715" s="2" t="n">
        <x:v>50</x:v>
      </x:c>
      <x:c r="L715" s="2" t="n">
        <x:f>G715*H715</x:f>
        <x:v>4500</x:v>
      </x:c>
      <x:c r="M715" s="2" t="n">
        <x:f>ROUND(L715*(1-I715),2)</x:f>
        <x:v>4050</x:v>
      </x:c>
      <x:c r="N715" s="2" t="n">
        <x:f>G715*J715</x:f>
        <x:v>2700</x:v>
      </x:c>
      <x:c r="O715" s="2" t="n">
        <x:f>M715-N715-K715</x:f>
        <x:v>1300</x:v>
      </x:c>
      <x:c r="P715" s="1" t="str">
        <x:f>TEXT(B715,"yyyy-mm")</x:f>
        <x:v>2025-10</x:v>
      </x:c>
    </x:row>
    <x:row r="716">
      <x:c r="A716" s="1" t="str">
        <x:v>ORD-0712</x:v>
      </x:c>
      <x:c r="B716" s="4" t="d">
        <x:v>2025-10-18T00:00:00.000Z</x:v>
      </x:c>
      <x:c r="C716" s="1" t="str">
        <x:v>C-268</x:v>
      </x:c>
      <x:c r="D716" s="1" t="str">
        <x:v>East</x:v>
      </x:c>
      <x:c r="E716" s="1" t="str">
        <x:v>Fashion</x:v>
      </x:c>
      <x:c r="F716" s="1" t="str">
        <x:v>T-shirt</x:v>
      </x:c>
      <x:c r="G716" s="1" t="n">
        <x:v>4</x:v>
      </x:c>
      <x:c r="H716" s="2" t="n">
        <x:v>700</x:v>
      </x:c>
      <x:c r="I716" s="3" t="n">
        <x:v>0.05</x:v>
      </x:c>
      <x:c r="J716" s="2" t="n">
        <x:v>300</x:v>
      </x:c>
      <x:c r="K716" s="2" t="n">
        <x:v>120</x:v>
      </x:c>
      <x:c r="L716" s="2" t="n">
        <x:f>G716*H716</x:f>
        <x:v>2800</x:v>
      </x:c>
      <x:c r="M716" s="2" t="n">
        <x:f>ROUND(L716*(1-I716),2)</x:f>
        <x:v>2660</x:v>
      </x:c>
      <x:c r="N716" s="2" t="n">
        <x:f>G716*J716</x:f>
        <x:v>1200</x:v>
      </x:c>
      <x:c r="O716" s="2" t="n">
        <x:f>M716-N716-K716</x:f>
        <x:v>1340</x:v>
      </x:c>
      <x:c r="P716" s="1" t="str">
        <x:f>TEXT(B716,"yyyy-mm")</x:f>
        <x:v>2025-10</x:v>
      </x:c>
    </x:row>
    <x:row r="717">
      <x:c r="A717" s="1" t="str">
        <x:v>ORD-0713</x:v>
      </x:c>
      <x:c r="B717" s="4" t="d">
        <x:v>2025-10-23T00:00:00.000Z</x:v>
      </x:c>
      <x:c r="C717" s="1" t="str">
        <x:v>C-010</x:v>
      </x:c>
      <x:c r="D717" s="1" t="str">
        <x:v>West</x:v>
      </x:c>
      <x:c r="E717" s="1" t="str">
        <x:v>Electronics</x:v>
      </x:c>
      <x:c r="F717" s="1" t="str">
        <x:v>Smartwatch</x:v>
      </x:c>
      <x:c r="G717" s="1" t="n">
        <x:v>1</x:v>
      </x:c>
      <x:c r="H717" s="2" t="n">
        <x:v>4200</x:v>
      </x:c>
      <x:c r="I717" s="3" t="n">
        <x:v>0.35</x:v>
      </x:c>
      <x:c r="J717" s="2" t="n">
        <x:v>3000</x:v>
      </x:c>
      <x:c r="K717" s="2" t="n">
        <x:v>80</x:v>
      </x:c>
      <x:c r="L717" s="2" t="n">
        <x:f>G717*H717</x:f>
        <x:v>4200</x:v>
      </x:c>
      <x:c r="M717" s="2" t="n">
        <x:f>ROUND(L717*(1-I717),2)</x:f>
        <x:v>2730</x:v>
      </x:c>
      <x:c r="N717" s="2" t="n">
        <x:f>G717*J717</x:f>
        <x:v>3000</x:v>
      </x:c>
      <x:c r="O717" s="2" t="n">
        <x:f>M717-N717-K717</x:f>
        <x:v>-350</x:v>
      </x:c>
      <x:c r="P717" s="1" t="str">
        <x:f>TEXT(B717,"yyyy-mm")</x:f>
        <x:v>2025-10</x:v>
      </x:c>
    </x:row>
    <x:row r="718">
      <x:c r="A718" s="1" t="str">
        <x:v>ORD-0714</x:v>
      </x:c>
      <x:c r="B718" s="4" t="d">
        <x:v>2025-03-26T00:00:00.000Z</x:v>
      </x:c>
      <x:c r="C718" s="1" t="str">
        <x:v>C-139</x:v>
      </x:c>
      <x:c r="D718" s="1" t="str">
        <x:v>North</x:v>
      </x:c>
      <x:c r="E718" s="1" t="str">
        <x:v>Fashion</x:v>
      </x:c>
      <x:c r="F718" s="1" t="str">
        <x:v>Sneakers</x:v>
      </x:c>
      <x:c r="G718" s="1" t="n">
        <x:v>4</x:v>
      </x:c>
      <x:c r="H718" s="2" t="n">
        <x:v>2400</x:v>
      </x:c>
      <x:c r="I718" s="3" t="n">
        <x:v>0.05</x:v>
      </x:c>
      <x:c r="J718" s="2" t="n">
        <x:v>1200</x:v>
      </x:c>
      <x:c r="K718" s="2" t="n">
        <x:v>120</x:v>
      </x:c>
      <x:c r="L718" s="2" t="n">
        <x:f>G718*H718</x:f>
        <x:v>9600</x:v>
      </x:c>
      <x:c r="M718" s="2" t="n">
        <x:f>ROUND(L718*(1-I718),2)</x:f>
        <x:v>9120</x:v>
      </x:c>
      <x:c r="N718" s="2" t="n">
        <x:f>G718*J718</x:f>
        <x:v>4800</x:v>
      </x:c>
      <x:c r="O718" s="2" t="n">
        <x:f>M718-N718-K718</x:f>
        <x:v>4200</x:v>
      </x:c>
      <x:c r="P718" s="1" t="str">
        <x:f>TEXT(B718,"yyyy-mm")</x:f>
        <x:v>2025-03</x:v>
      </x:c>
    </x:row>
    <x:row r="719">
      <x:c r="A719" s="1" t="str">
        <x:v>ORD-0715</x:v>
      </x:c>
      <x:c r="B719" s="4" t="d">
        <x:v>2025-12-22T00:00:00.000Z</x:v>
      </x:c>
      <x:c r="C719" s="1" t="str">
        <x:v>C-139</x:v>
      </x:c>
      <x:c r="D719" s="1" t="str">
        <x:v>East</x:v>
      </x:c>
      <x:c r="E719" s="1" t="str">
        <x:v>Electronics</x:v>
      </x:c>
      <x:c r="F719" s="1" t="str">
        <x:v>Keyboard</x:v>
      </x:c>
      <x:c r="G719" s="1" t="n">
        <x:v>1</x:v>
      </x:c>
      <x:c r="H719" s="2" t="n">
        <x:v>1500</x:v>
      </x:c>
      <x:c r="I719" s="3" t="n">
        <x:v>0.15</x:v>
      </x:c>
      <x:c r="J719" s="2" t="n">
        <x:v>900</x:v>
      </x:c>
      <x:c r="K719" s="2" t="n">
        <x:v>50</x:v>
      </x:c>
      <x:c r="L719" s="2" t="n">
        <x:f>G719*H719</x:f>
        <x:v>1500</x:v>
      </x:c>
      <x:c r="M719" s="2" t="n">
        <x:f>ROUND(L719*(1-I719),2)</x:f>
        <x:v>1275</x:v>
      </x:c>
      <x:c r="N719" s="2" t="n">
        <x:f>G719*J719</x:f>
        <x:v>900</x:v>
      </x:c>
      <x:c r="O719" s="2" t="n">
        <x:f>M719-N719-K719</x:f>
        <x:v>325</x:v>
      </x:c>
      <x:c r="P719" s="1" t="str">
        <x:f>TEXT(B719,"yyyy-mm")</x:f>
        <x:v>2025-12</x:v>
      </x:c>
    </x:row>
    <x:row r="720">
      <x:c r="A720" s="1" t="str">
        <x:v>ORD-0716</x:v>
      </x:c>
      <x:c r="B720" s="4" t="d">
        <x:v>2025-05-13T00:00:00.000Z</x:v>
      </x:c>
      <x:c r="C720" s="1" t="str">
        <x:v>C-261</x:v>
      </x:c>
      <x:c r="D720" s="1" t="str">
        <x:v>North</x:v>
      </x:c>
      <x:c r="E720" s="1" t="str">
        <x:v>Home</x:v>
      </x:c>
      <x:c r="F720" s="1" t="str">
        <x:v>Office chair</x:v>
      </x:c>
      <x:c r="G720" s="1" t="n">
        <x:v>3</x:v>
      </x:c>
      <x:c r="H720" s="2" t="n">
        <x:v>5500</x:v>
      </x:c>
      <x:c r="I720" s="3" t="n">
        <x:v>0.05</x:v>
      </x:c>
      <x:c r="J720" s="2" t="n">
        <x:v>4400</x:v>
      </x:c>
      <x:c r="K720" s="2" t="n">
        <x:v>80</x:v>
      </x:c>
      <x:c r="L720" s="2" t="n">
        <x:f>G720*H720</x:f>
        <x:v>16500</x:v>
      </x:c>
      <x:c r="M720" s="2" t="n">
        <x:f>ROUND(L720*(1-I720),2)</x:f>
        <x:v>15675</x:v>
      </x:c>
      <x:c r="N720" s="2" t="n">
        <x:f>G720*J720</x:f>
        <x:v>13200</x:v>
      </x:c>
      <x:c r="O720" s="2" t="n">
        <x:f>M720-N720-K720</x:f>
        <x:v>2395</x:v>
      </x:c>
      <x:c r="P720" s="1" t="str">
        <x:f>TEXT(B720,"yyyy-mm")</x:f>
        <x:v>2025-05</x:v>
      </x:c>
    </x:row>
    <x:row r="721">
      <x:c r="A721" s="1" t="str">
        <x:v>ORD-0717</x:v>
      </x:c>
      <x:c r="B721" s="4" t="d">
        <x:v>2025-11-06T00:00:00.000Z</x:v>
      </x:c>
      <x:c r="C721" s="1" t="str">
        <x:v>C-102</x:v>
      </x:c>
      <x:c r="D721" s="1" t="str">
        <x:v>West</x:v>
      </x:c>
      <x:c r="E721" s="1" t="str">
        <x:v>Home</x:v>
      </x:c>
      <x:c r="F721" s="1" t="str">
        <x:v>Storage box</x:v>
      </x:c>
      <x:c r="G721" s="1" t="n">
        <x:v>1</x:v>
      </x:c>
      <x:c r="H721" s="2" t="n">
        <x:v>800</x:v>
      </x:c>
      <x:c r="I721" s="3" t="n">
        <x:v>0</x:v>
      </x:c>
      <x:c r="J721" s="2" t="n">
        <x:v>420</x:v>
      </x:c>
      <x:c r="K721" s="2" t="n">
        <x:v>50</x:v>
      </x:c>
      <x:c r="L721" s="2" t="n">
        <x:f>G721*H721</x:f>
        <x:v>800</x:v>
      </x:c>
      <x:c r="M721" s="2" t="n">
        <x:f>ROUND(L721*(1-I721),2)</x:f>
        <x:v>800</x:v>
      </x:c>
      <x:c r="N721" s="2" t="n">
        <x:f>G721*J721</x:f>
        <x:v>420</x:v>
      </x:c>
      <x:c r="O721" s="2" t="n">
        <x:f>M721-N721-K721</x:f>
        <x:v>330</x:v>
      </x:c>
      <x:c r="P721" s="1" t="str">
        <x:f>TEXT(B721,"yyyy-mm")</x:f>
        <x:v>2025-11</x:v>
      </x:c>
    </x:row>
    <x:row r="722">
      <x:c r="A722" s="1" t="str">
        <x:v>ORD-0718</x:v>
      </x:c>
      <x:c r="B722" s="4" t="d">
        <x:v>2025-04-11T00:00:00.000Z</x:v>
      </x:c>
      <x:c r="C722" s="1" t="str">
        <x:v>C-251</x:v>
      </x:c>
      <x:c r="D722" s="1" t="str">
        <x:v>West</x:v>
      </x:c>
      <x:c r="E722" s="1" t="str">
        <x:v>Home</x:v>
      </x:c>
      <x:c r="F722" s="1" t="str">
        <x:v>Storage box</x:v>
      </x:c>
      <x:c r="G722" s="1" t="n">
        <x:v>2</x:v>
      </x:c>
      <x:c r="H722" s="2" t="n">
        <x:v>800</x:v>
      </x:c>
      <x:c r="I722" s="3" t="n">
        <x:v>0.1</x:v>
      </x:c>
      <x:c r="J722" s="2" t="n">
        <x:v>420</x:v>
      </x:c>
      <x:c r="K722" s="2" t="n">
        <x:v>50</x:v>
      </x:c>
      <x:c r="L722" s="2" t="n">
        <x:f>G722*H722</x:f>
        <x:v>1600</x:v>
      </x:c>
      <x:c r="M722" s="2" t="n">
        <x:f>ROUND(L722*(1-I722),2)</x:f>
        <x:v>1440</x:v>
      </x:c>
      <x:c r="N722" s="2" t="n">
        <x:f>G722*J722</x:f>
        <x:v>840</x:v>
      </x:c>
      <x:c r="O722" s="2" t="n">
        <x:f>M722-N722-K722</x:f>
        <x:v>550</x:v>
      </x:c>
      <x:c r="P722" s="1" t="str">
        <x:f>TEXT(B722,"yyyy-mm")</x:f>
        <x:v>2025-04</x:v>
      </x:c>
    </x:row>
    <x:row r="723">
      <x:c r="A723" s="1" t="str">
        <x:v>ORD-0719</x:v>
      </x:c>
      <x:c r="B723" s="4" t="d">
        <x:v>2025-06-21T00:00:00.000Z</x:v>
      </x:c>
      <x:c r="C723" s="1" t="str">
        <x:v>C-155</x:v>
      </x:c>
      <x:c r="D723" s="1" t="str">
        <x:v>South</x:v>
      </x:c>
      <x:c r="E723" s="1" t="str">
        <x:v>Fashion</x:v>
      </x:c>
      <x:c r="F723" s="1" t="str">
        <x:v>Backpack</x:v>
      </x:c>
      <x:c r="G723" s="1" t="n">
        <x:v>3</x:v>
      </x:c>
      <x:c r="H723" s="2" t="n">
        <x:v>1300</x:v>
      </x:c>
      <x:c r="I723" s="3" t="n">
        <x:v>0.1</x:v>
      </x:c>
      <x:c r="J723" s="2" t="n">
        <x:v>650</x:v>
      </x:c>
      <x:c r="K723" s="2" t="n">
        <x:v>50</x:v>
      </x:c>
      <x:c r="L723" s="2" t="n">
        <x:f>G723*H723</x:f>
        <x:v>3900</x:v>
      </x:c>
      <x:c r="M723" s="2" t="n">
        <x:f>ROUND(L723*(1-I723),2)</x:f>
        <x:v>3510</x:v>
      </x:c>
      <x:c r="N723" s="2" t="n">
        <x:f>G723*J723</x:f>
        <x:v>1950</x:v>
      </x:c>
      <x:c r="O723" s="2" t="n">
        <x:f>M723-N723-K723</x:f>
        <x:v>1510</x:v>
      </x:c>
      <x:c r="P723" s="1" t="str">
        <x:f>TEXT(B723,"yyyy-mm")</x:f>
        <x:v>2025-06</x:v>
      </x:c>
    </x:row>
    <x:row r="724">
      <x:c r="A724" s="1" t="str">
        <x:v>ORD-0720</x:v>
      </x:c>
      <x:c r="B724" s="4" t="d">
        <x:v>2025-09-18T00:00:00.000Z</x:v>
      </x:c>
      <x:c r="C724" s="1" t="str">
        <x:v>C-144</x:v>
      </x:c>
      <x:c r="D724" s="1" t="str">
        <x:v>South</x:v>
      </x:c>
      <x:c r="E724" s="1" t="str">
        <x:v>Home</x:v>
      </x:c>
      <x:c r="F724" s="1" t="str">
        <x:v>Office chair</x:v>
      </x:c>
      <x:c r="G724" s="1" t="n">
        <x:v>2</x:v>
      </x:c>
      <x:c r="H724" s="2" t="n">
        <x:v>5500</x:v>
      </x:c>
      <x:c r="I724" s="3" t="n">
        <x:v>0</x:v>
      </x:c>
      <x:c r="J724" s="2" t="n">
        <x:v>4400</x:v>
      </x:c>
      <x:c r="K724" s="2" t="n">
        <x:v>80</x:v>
      </x:c>
      <x:c r="L724" s="2" t="n">
        <x:f>G724*H724</x:f>
        <x:v>11000</x:v>
      </x:c>
      <x:c r="M724" s="2" t="n">
        <x:f>ROUND(L724*(1-I724),2)</x:f>
        <x:v>11000</x:v>
      </x:c>
      <x:c r="N724" s="2" t="n">
        <x:f>G724*J724</x:f>
        <x:v>8800</x:v>
      </x:c>
      <x:c r="O724" s="2" t="n">
        <x:f>M724-N724-K724</x:f>
        <x:v>2120</x:v>
      </x:c>
      <x:c r="P724" s="1" t="str">
        <x:f>TEXT(B724,"yyyy-mm")</x:f>
        <x:v>2025-09</x:v>
      </x:c>
    </x:row>
    <x:row r="725">
      <x:c r="A725" s="1" t="str">
        <x:v>ORD-0721</x:v>
      </x:c>
      <x:c r="B725" s="4" t="d">
        <x:v>2025-12-24T00:00:00.000Z</x:v>
      </x:c>
      <x:c r="C725" s="1" t="str">
        <x:v>C-196</x:v>
      </x:c>
      <x:c r="D725" s="1" t="str">
        <x:v>South</x:v>
      </x:c>
      <x:c r="E725" s="1" t="str">
        <x:v>Electronics</x:v>
      </x:c>
      <x:c r="F725" s="1" t="str">
        <x:v>Smartwatch</x:v>
      </x:c>
      <x:c r="G725" s="1" t="n">
        <x:v>4</x:v>
      </x:c>
      <x:c r="H725" s="2" t="n">
        <x:v>4200</x:v>
      </x:c>
      <x:c r="I725" s="3" t="n">
        <x:v>0</x:v>
      </x:c>
      <x:c r="J725" s="2" t="n">
        <x:v>3000</x:v>
      </x:c>
      <x:c r="K725" s="2" t="n">
        <x:v>50</x:v>
      </x:c>
      <x:c r="L725" s="2" t="n">
        <x:f>G725*H725</x:f>
        <x:v>16800</x:v>
      </x:c>
      <x:c r="M725" s="2" t="n">
        <x:f>ROUND(L725*(1-I725),2)</x:f>
        <x:v>16800</x:v>
      </x:c>
      <x:c r="N725" s="2" t="n">
        <x:f>G725*J725</x:f>
        <x:v>12000</x:v>
      </x:c>
      <x:c r="O725" s="2" t="n">
        <x:f>M725-N725-K725</x:f>
        <x:v>4750</x:v>
      </x:c>
      <x:c r="P725" s="1" t="str">
        <x:f>TEXT(B725,"yyyy-mm")</x:f>
        <x:v>2025-12</x:v>
      </x:c>
    </x:row>
    <x:row r="726">
      <x:c r="A726" s="1" t="str">
        <x:v>ORD-0722</x:v>
      </x:c>
      <x:c r="B726" s="4" t="d">
        <x:v>2025-09-30T00:00:00.000Z</x:v>
      </x:c>
      <x:c r="C726" s="1" t="str">
        <x:v>C-169</x:v>
      </x:c>
      <x:c r="D726" s="1" t="str">
        <x:v>West</x:v>
      </x:c>
      <x:c r="E726" s="1" t="str">
        <x:v>Home</x:v>
      </x:c>
      <x:c r="F726" s="1" t="str">
        <x:v>Office chair</x:v>
      </x:c>
      <x:c r="G726" s="1" t="n">
        <x:v>2</x:v>
      </x:c>
      <x:c r="H726" s="2" t="n">
        <x:v>5500</x:v>
      </x:c>
      <x:c r="I726" s="3" t="n">
        <x:v>0.1</x:v>
      </x:c>
      <x:c r="J726" s="2" t="n">
        <x:v>4400</x:v>
      </x:c>
      <x:c r="K726" s="2" t="n">
        <x:v>50</x:v>
      </x:c>
      <x:c r="L726" s="2" t="n">
        <x:f>G726*H726</x:f>
        <x:v>11000</x:v>
      </x:c>
      <x:c r="M726" s="2" t="n">
        <x:f>ROUND(L726*(1-I726),2)</x:f>
        <x:v>9900</x:v>
      </x:c>
      <x:c r="N726" s="2" t="n">
        <x:f>G726*J726</x:f>
        <x:v>8800</x:v>
      </x:c>
      <x:c r="O726" s="2" t="n">
        <x:f>M726-N726-K726</x:f>
        <x:v>1050</x:v>
      </x:c>
      <x:c r="P726" s="1" t="str">
        <x:f>TEXT(B726,"yyyy-mm")</x:f>
        <x:v>2025-09</x:v>
      </x:c>
    </x:row>
    <x:row r="727">
      <x:c r="A727" s="1" t="str">
        <x:v>ORD-0723</x:v>
      </x:c>
      <x:c r="B727" s="4" t="d">
        <x:v>2025-10-26T00:00:00.000Z</x:v>
      </x:c>
      <x:c r="C727" s="1" t="str">
        <x:v>C-104</x:v>
      </x:c>
      <x:c r="D727" s="1" t="str">
        <x:v>South</x:v>
      </x:c>
      <x:c r="E727" s="1" t="str">
        <x:v>Home</x:v>
      </x:c>
      <x:c r="F727" s="1" t="str">
        <x:v>Storage box</x:v>
      </x:c>
      <x:c r="G727" s="1" t="n">
        <x:v>3</x:v>
      </x:c>
      <x:c r="H727" s="2" t="n">
        <x:v>800</x:v>
      </x:c>
      <x:c r="I727" s="3" t="n">
        <x:v>0.35</x:v>
      </x:c>
      <x:c r="J727" s="2" t="n">
        <x:v>420</x:v>
      </x:c>
      <x:c r="K727" s="2" t="n">
        <x:v>120</x:v>
      </x:c>
      <x:c r="L727" s="2" t="n">
        <x:f>G727*H727</x:f>
        <x:v>2400</x:v>
      </x:c>
      <x:c r="M727" s="2" t="n">
        <x:f>ROUND(L727*(1-I727),2)</x:f>
        <x:v>1560</x:v>
      </x:c>
      <x:c r="N727" s="2" t="n">
        <x:f>G727*J727</x:f>
        <x:v>1260</x:v>
      </x:c>
      <x:c r="O727" s="2" t="n">
        <x:f>M727-N727-K727</x:f>
        <x:v>180</x:v>
      </x:c>
      <x:c r="P727" s="1" t="str">
        <x:f>TEXT(B727,"yyyy-mm")</x:f>
        <x:v>2025-10</x:v>
      </x:c>
    </x:row>
    <x:row r="728">
      <x:c r="A728" s="1" t="str">
        <x:v>ORD-0724</x:v>
      </x:c>
      <x:c r="B728" s="4" t="d">
        <x:v>2025-10-14T00:00:00.000Z</x:v>
      </x:c>
      <x:c r="C728" s="1" t="str">
        <x:v>C-075</x:v>
      </x:c>
      <x:c r="D728" s="1" t="str">
        <x:v>South</x:v>
      </x:c>
      <x:c r="E728" s="1" t="str">
        <x:v>Home</x:v>
      </x:c>
      <x:c r="F728" s="1" t="str">
        <x:v>Storage box</x:v>
      </x:c>
      <x:c r="G728" s="1" t="n">
        <x:v>3</x:v>
      </x:c>
      <x:c r="H728" s="2" t="n">
        <x:v>800</x:v>
      </x:c>
      <x:c r="I728" s="3" t="n">
        <x:v>0.05</x:v>
      </x:c>
      <x:c r="J728" s="2" t="n">
        <x:v>420</x:v>
      </x:c>
      <x:c r="K728" s="2" t="n">
        <x:v>50</x:v>
      </x:c>
      <x:c r="L728" s="2" t="n">
        <x:f>G728*H728</x:f>
        <x:v>2400</x:v>
      </x:c>
      <x:c r="M728" s="2" t="n">
        <x:f>ROUND(L728*(1-I728),2)</x:f>
        <x:v>2280</x:v>
      </x:c>
      <x:c r="N728" s="2" t="n">
        <x:f>G728*J728</x:f>
        <x:v>1260</x:v>
      </x:c>
      <x:c r="O728" s="2" t="n">
        <x:f>M728-N728-K728</x:f>
        <x:v>970</x:v>
      </x:c>
      <x:c r="P728" s="1" t="str">
        <x:f>TEXT(B728,"yyyy-mm")</x:f>
        <x:v>2025-10</x:v>
      </x:c>
    </x:row>
    <x:row r="729">
      <x:c r="A729" s="1" t="str">
        <x:v>ORD-0725</x:v>
      </x:c>
      <x:c r="B729" s="4" t="d">
        <x:v>2025-08-11T00:00:00.000Z</x:v>
      </x:c>
      <x:c r="C729" s="1" t="str">
        <x:v>C-075</x:v>
      </x:c>
      <x:c r="D729" s="1" t="str">
        <x:v>North</x:v>
      </x:c>
      <x:c r="E729" s="1" t="str">
        <x:v>Electronics</x:v>
      </x:c>
      <x:c r="F729" s="1" t="str">
        <x:v>Keyboard</x:v>
      </x:c>
      <x:c r="G729" s="1" t="n">
        <x:v>3</x:v>
      </x:c>
      <x:c r="H729" s="2" t="n">
        <x:v>1500</x:v>
      </x:c>
      <x:c r="I729" s="3" t="n">
        <x:v>0.05</x:v>
      </x:c>
      <x:c r="J729" s="2" t="n">
        <x:v>900</x:v>
      </x:c>
      <x:c r="K729" s="2" t="n">
        <x:v>80</x:v>
      </x:c>
      <x:c r="L729" s="2" t="n">
        <x:f>G729*H729</x:f>
        <x:v>4500</x:v>
      </x:c>
      <x:c r="M729" s="2" t="n">
        <x:f>ROUND(L729*(1-I729),2)</x:f>
        <x:v>4275</x:v>
      </x:c>
      <x:c r="N729" s="2" t="n">
        <x:f>G729*J729</x:f>
        <x:v>2700</x:v>
      </x:c>
      <x:c r="O729" s="2" t="n">
        <x:f>M729-N729-K729</x:f>
        <x:v>1495</x:v>
      </x:c>
      <x:c r="P729" s="1" t="str">
        <x:f>TEXT(B729,"yyyy-mm")</x:f>
        <x:v>2025-08</x:v>
      </x:c>
    </x:row>
    <x:row r="730">
      <x:c r="A730" s="1" t="str">
        <x:v>ORD-0726</x:v>
      </x:c>
      <x:c r="B730" s="4" t="d">
        <x:v>2025-12-24T00:00:00.000Z</x:v>
      </x:c>
      <x:c r="C730" s="1" t="str">
        <x:v>C-141</x:v>
      </x:c>
      <x:c r="D730" s="1" t="str">
        <x:v>South</x:v>
      </x:c>
      <x:c r="E730" s="1" t="str">
        <x:v>Fashion</x:v>
      </x:c>
      <x:c r="F730" s="1" t="str">
        <x:v>Sneakers</x:v>
      </x:c>
      <x:c r="G730" s="1" t="n">
        <x:v>2</x:v>
      </x:c>
      <x:c r="H730" s="2" t="n">
        <x:v>2400</x:v>
      </x:c>
      <x:c r="I730" s="3" t="n">
        <x:v>0.15</x:v>
      </x:c>
      <x:c r="J730" s="2" t="n">
        <x:v>1200</x:v>
      </x:c>
      <x:c r="K730" s="2" t="n">
        <x:v>50</x:v>
      </x:c>
      <x:c r="L730" s="2" t="n">
        <x:f>G730*H730</x:f>
        <x:v>4800</x:v>
      </x:c>
      <x:c r="M730" s="2" t="n">
        <x:f>ROUND(L730*(1-I730),2)</x:f>
        <x:v>4080</x:v>
      </x:c>
      <x:c r="N730" s="2" t="n">
        <x:f>G730*J730</x:f>
        <x:v>2400</x:v>
      </x:c>
      <x:c r="O730" s="2" t="n">
        <x:f>M730-N730-K730</x:f>
        <x:v>1630</x:v>
      </x:c>
      <x:c r="P730" s="1" t="str">
        <x:f>TEXT(B730,"yyyy-mm")</x:f>
        <x:v>2025-12</x:v>
      </x:c>
    </x:row>
    <x:row r="731">
      <x:c r="A731" s="1" t="str">
        <x:v>ORD-0727</x:v>
      </x:c>
      <x:c r="B731" s="4" t="d">
        <x:v>2025-03-20T00:00:00.000Z</x:v>
      </x:c>
      <x:c r="C731" s="1" t="str">
        <x:v>C-137</x:v>
      </x:c>
      <x:c r="D731" s="1" t="str">
        <x:v>South</x:v>
      </x:c>
      <x:c r="E731" s="1" t="str">
        <x:v>Electronics</x:v>
      </x:c>
      <x:c r="F731" s="1" t="str">
        <x:v>Headphones</x:v>
      </x:c>
      <x:c r="G731" s="1" t="n">
        <x:v>2</x:v>
      </x:c>
      <x:c r="H731" s="2" t="n">
        <x:v>2200</x:v>
      </x:c>
      <x:c r="I731" s="3" t="n">
        <x:v>0.25</x:v>
      </x:c>
      <x:c r="J731" s="2" t="n">
        <x:v>1450</x:v>
      </x:c>
      <x:c r="K731" s="2" t="n">
        <x:v>50</x:v>
      </x:c>
      <x:c r="L731" s="2" t="n">
        <x:f>G731*H731</x:f>
        <x:v>4400</x:v>
      </x:c>
      <x:c r="M731" s="2" t="n">
        <x:f>ROUND(L731*(1-I731),2)</x:f>
        <x:v>3300</x:v>
      </x:c>
      <x:c r="N731" s="2" t="n">
        <x:f>G731*J731</x:f>
        <x:v>2900</x:v>
      </x:c>
      <x:c r="O731" s="2" t="n">
        <x:f>M731-N731-K731</x:f>
        <x:v>350</x:v>
      </x:c>
      <x:c r="P731" s="1" t="str">
        <x:f>TEXT(B731,"yyyy-mm")</x:f>
        <x:v>2025-03</x:v>
      </x:c>
    </x:row>
    <x:row r="732">
      <x:c r="A732" s="1" t="str">
        <x:v>ORD-0728</x:v>
      </x:c>
      <x:c r="B732" s="4" t="d">
        <x:v>2025-10-23T00:00:00.000Z</x:v>
      </x:c>
      <x:c r="C732" s="1" t="str">
        <x:v>C-245</x:v>
      </x:c>
      <x:c r="D732" s="1" t="str">
        <x:v>South</x:v>
      </x:c>
      <x:c r="E732" s="1" t="str">
        <x:v>Fashion</x:v>
      </x:c>
      <x:c r="F732" s="1" t="str">
        <x:v>Backpack</x:v>
      </x:c>
      <x:c r="G732" s="1" t="n">
        <x:v>4</x:v>
      </x:c>
      <x:c r="H732" s="2" t="n">
        <x:v>1300</x:v>
      </x:c>
      <x:c r="I732" s="3" t="n">
        <x:v>0</x:v>
      </x:c>
      <x:c r="J732" s="2" t="n">
        <x:v>650</x:v>
      </x:c>
      <x:c r="K732" s="2" t="n">
        <x:v>120</x:v>
      </x:c>
      <x:c r="L732" s="2" t="n">
        <x:f>G732*H732</x:f>
        <x:v>5200</x:v>
      </x:c>
      <x:c r="M732" s="2" t="n">
        <x:f>ROUND(L732*(1-I732),2)</x:f>
        <x:v>5200</x:v>
      </x:c>
      <x:c r="N732" s="2" t="n">
        <x:f>G732*J732</x:f>
        <x:v>2600</x:v>
      </x:c>
      <x:c r="O732" s="2" t="n">
        <x:f>M732-N732-K732</x:f>
        <x:v>2480</x:v>
      </x:c>
      <x:c r="P732" s="1" t="str">
        <x:f>TEXT(B732,"yyyy-mm")</x:f>
        <x:v>2025-10</x:v>
      </x:c>
    </x:row>
    <x:row r="733">
      <x:c r="A733" s="1" t="str">
        <x:v>ORD-0729</x:v>
      </x:c>
      <x:c r="B733" s="4" t="d">
        <x:v>2025-09-16T00:00:00.000Z</x:v>
      </x:c>
      <x:c r="C733" s="1" t="str">
        <x:v>C-243</x:v>
      </x:c>
      <x:c r="D733" s="1" t="str">
        <x:v>South</x:v>
      </x:c>
      <x:c r="E733" s="1" t="str">
        <x:v>Electronics</x:v>
      </x:c>
      <x:c r="F733" s="1" t="str">
        <x:v>Smartwatch</x:v>
      </x:c>
      <x:c r="G733" s="1" t="n">
        <x:v>2</x:v>
      </x:c>
      <x:c r="H733" s="2" t="n">
        <x:v>4200</x:v>
      </x:c>
      <x:c r="I733" s="3" t="n">
        <x:v>0.15</x:v>
      </x:c>
      <x:c r="J733" s="2" t="n">
        <x:v>3000</x:v>
      </x:c>
      <x:c r="K733" s="2" t="n">
        <x:v>50</x:v>
      </x:c>
      <x:c r="L733" s="2" t="n">
        <x:f>G733*H733</x:f>
        <x:v>8400</x:v>
      </x:c>
      <x:c r="M733" s="2" t="n">
        <x:f>ROUND(L733*(1-I733),2)</x:f>
        <x:v>7140</x:v>
      </x:c>
      <x:c r="N733" s="2" t="n">
        <x:f>G733*J733</x:f>
        <x:v>6000</x:v>
      </x:c>
      <x:c r="O733" s="2" t="n">
        <x:f>M733-N733-K733</x:f>
        <x:v>1090</x:v>
      </x:c>
      <x:c r="P733" s="1" t="str">
        <x:f>TEXT(B733,"yyyy-mm")</x:f>
        <x:v>2025-09</x:v>
      </x:c>
    </x:row>
    <x:row r="734">
      <x:c r="A734" s="1" t="str">
        <x:v>ORD-0730</x:v>
      </x:c>
      <x:c r="B734" s="4" t="d">
        <x:v>2025-04-30T00:00:00.000Z</x:v>
      </x:c>
      <x:c r="C734" s="1" t="str">
        <x:v>C-139</x:v>
      </x:c>
      <x:c r="D734" s="1" t="str">
        <x:v>West</x:v>
      </x:c>
      <x:c r="E734" s="1" t="str">
        <x:v>Home</x:v>
      </x:c>
      <x:c r="F734" s="1" t="str">
        <x:v>Office chair</x:v>
      </x:c>
      <x:c r="G734" s="1" t="n">
        <x:v>2</x:v>
      </x:c>
      <x:c r="H734" s="2" t="n">
        <x:v>5500</x:v>
      </x:c>
      <x:c r="I734" s="3" t="n">
        <x:v>0</x:v>
      </x:c>
      <x:c r="J734" s="2" t="n">
        <x:v>4400</x:v>
      </x:c>
      <x:c r="K734" s="2" t="n">
        <x:v>120</x:v>
      </x:c>
      <x:c r="L734" s="2" t="n">
        <x:f>G734*H734</x:f>
        <x:v>11000</x:v>
      </x:c>
      <x:c r="M734" s="2" t="n">
        <x:f>ROUND(L734*(1-I734),2)</x:f>
        <x:v>11000</x:v>
      </x:c>
      <x:c r="N734" s="2" t="n">
        <x:f>G734*J734</x:f>
        <x:v>8800</x:v>
      </x:c>
      <x:c r="O734" s="2" t="n">
        <x:f>M734-N734-K734</x:f>
        <x:v>2080</x:v>
      </x:c>
      <x:c r="P734" s="1" t="str">
        <x:f>TEXT(B734,"yyyy-mm")</x:f>
        <x:v>2025-04</x:v>
      </x:c>
    </x:row>
    <x:row r="735">
      <x:c r="A735" s="1" t="str">
        <x:v>ORD-0731</x:v>
      </x:c>
      <x:c r="B735" s="4" t="d">
        <x:v>2025-10-03T00:00:00.000Z</x:v>
      </x:c>
      <x:c r="C735" s="1" t="str">
        <x:v>C-091</x:v>
      </x:c>
      <x:c r="D735" s="1" t="str">
        <x:v>West</x:v>
      </x:c>
      <x:c r="E735" s="1" t="str">
        <x:v>Fashion</x:v>
      </x:c>
      <x:c r="F735" s="1" t="str">
        <x:v>T-shirt</x:v>
      </x:c>
      <x:c r="G735" s="1" t="n">
        <x:v>4</x:v>
      </x:c>
      <x:c r="H735" s="2" t="n">
        <x:v>700</x:v>
      </x:c>
      <x:c r="I735" s="3" t="n">
        <x:v>0.05</x:v>
      </x:c>
      <x:c r="J735" s="2" t="n">
        <x:v>300</x:v>
      </x:c>
      <x:c r="K735" s="2" t="n">
        <x:v>120</x:v>
      </x:c>
      <x:c r="L735" s="2" t="n">
        <x:f>G735*H735</x:f>
        <x:v>2800</x:v>
      </x:c>
      <x:c r="M735" s="2" t="n">
        <x:f>ROUND(L735*(1-I735),2)</x:f>
        <x:v>2660</x:v>
      </x:c>
      <x:c r="N735" s="2" t="n">
        <x:f>G735*J735</x:f>
        <x:v>1200</x:v>
      </x:c>
      <x:c r="O735" s="2" t="n">
        <x:f>M735-N735-K735</x:f>
        <x:v>1340</x:v>
      </x:c>
      <x:c r="P735" s="1" t="str">
        <x:f>TEXT(B735,"yyyy-mm")</x:f>
        <x:v>2025-10</x:v>
      </x:c>
    </x:row>
    <x:row r="736">
      <x:c r="A736" s="1" t="str">
        <x:v>ORD-0732</x:v>
      </x:c>
      <x:c r="B736" s="4" t="d">
        <x:v>2025-05-14T00:00:00.000Z</x:v>
      </x:c>
      <x:c r="C736" s="1" t="str">
        <x:v>C-208</x:v>
      </x:c>
      <x:c r="D736" s="1" t="str">
        <x:v>North</x:v>
      </x:c>
      <x:c r="E736" s="1" t="str">
        <x:v>Home</x:v>
      </x:c>
      <x:c r="F736" s="1" t="str">
        <x:v>Desk lamp</x:v>
      </x:c>
      <x:c r="G736" s="1" t="n">
        <x:v>4</x:v>
      </x:c>
      <x:c r="H736" s="2" t="n">
        <x:v>1100</x:v>
      </x:c>
      <x:c r="I736" s="3" t="n">
        <x:v>0.05</x:v>
      </x:c>
      <x:c r="J736" s="2" t="n">
        <x:v>650</x:v>
      </x:c>
      <x:c r="K736" s="2" t="n">
        <x:v>120</x:v>
      </x:c>
      <x:c r="L736" s="2" t="n">
        <x:f>G736*H736</x:f>
        <x:v>4400</x:v>
      </x:c>
      <x:c r="M736" s="2" t="n">
        <x:f>ROUND(L736*(1-I736),2)</x:f>
        <x:v>4180</x:v>
      </x:c>
      <x:c r="N736" s="2" t="n">
        <x:f>G736*J736</x:f>
        <x:v>2600</x:v>
      </x:c>
      <x:c r="O736" s="2" t="n">
        <x:f>M736-N736-K736</x:f>
        <x:v>1460</x:v>
      </x:c>
      <x:c r="P736" s="1" t="str">
        <x:f>TEXT(B736,"yyyy-mm")</x:f>
        <x:v>2025-05</x:v>
      </x:c>
    </x:row>
    <x:row r="737">
      <x:c r="A737" s="1" t="str">
        <x:v>ORD-0733</x:v>
      </x:c>
      <x:c r="B737" s="4" t="d">
        <x:v>2025-05-21T00:00:00.000Z</x:v>
      </x:c>
      <x:c r="C737" s="1" t="str">
        <x:v>C-020</x:v>
      </x:c>
      <x:c r="D737" s="1" t="str">
        <x:v>North</x:v>
      </x:c>
      <x:c r="E737" s="1" t="str">
        <x:v>Home</x:v>
      </x:c>
      <x:c r="F737" s="1" t="str">
        <x:v>Storage box</x:v>
      </x:c>
      <x:c r="G737" s="1" t="n">
        <x:v>4</x:v>
      </x:c>
      <x:c r="H737" s="2" t="n">
        <x:v>800</x:v>
      </x:c>
      <x:c r="I737" s="3" t="n">
        <x:v>0.25</x:v>
      </x:c>
      <x:c r="J737" s="2" t="n">
        <x:v>420</x:v>
      </x:c>
      <x:c r="K737" s="2" t="n">
        <x:v>80</x:v>
      </x:c>
      <x:c r="L737" s="2" t="n">
        <x:f>G737*H737</x:f>
        <x:v>3200</x:v>
      </x:c>
      <x:c r="M737" s="2" t="n">
        <x:f>ROUND(L737*(1-I737),2)</x:f>
        <x:v>2400</x:v>
      </x:c>
      <x:c r="N737" s="2" t="n">
        <x:f>G737*J737</x:f>
        <x:v>1680</x:v>
      </x:c>
      <x:c r="O737" s="2" t="n">
        <x:f>M737-N737-K737</x:f>
        <x:v>640</x:v>
      </x:c>
      <x:c r="P737" s="1" t="str">
        <x:f>TEXT(B737,"yyyy-mm")</x:f>
        <x:v>2025-05</x:v>
      </x:c>
    </x:row>
    <x:row r="738">
      <x:c r="A738" s="1" t="str">
        <x:v>ORD-0734</x:v>
      </x:c>
      <x:c r="B738" s="4" t="d">
        <x:v>2025-11-17T00:00:00.000Z</x:v>
      </x:c>
      <x:c r="C738" s="1" t="str">
        <x:v>C-276</x:v>
      </x:c>
      <x:c r="D738" s="1" t="str">
        <x:v>West</x:v>
      </x:c>
      <x:c r="E738" s="1" t="str">
        <x:v>Electronics</x:v>
      </x:c>
      <x:c r="F738" s="1" t="str">
        <x:v>Headphones</x:v>
      </x:c>
      <x:c r="G738" s="1" t="n">
        <x:v>1</x:v>
      </x:c>
      <x:c r="H738" s="2" t="n">
        <x:v>2200</x:v>
      </x:c>
      <x:c r="I738" s="3" t="n">
        <x:v>0.05</x:v>
      </x:c>
      <x:c r="J738" s="2" t="n">
        <x:v>1450</x:v>
      </x:c>
      <x:c r="K738" s="2" t="n">
        <x:v>120</x:v>
      </x:c>
      <x:c r="L738" s="2" t="n">
        <x:f>G738*H738</x:f>
        <x:v>2200</x:v>
      </x:c>
      <x:c r="M738" s="2" t="n">
        <x:f>ROUND(L738*(1-I738),2)</x:f>
        <x:v>2090</x:v>
      </x:c>
      <x:c r="N738" s="2" t="n">
        <x:f>G738*J738</x:f>
        <x:v>1450</x:v>
      </x:c>
      <x:c r="O738" s="2" t="n">
        <x:f>M738-N738-K738</x:f>
        <x:v>520</x:v>
      </x:c>
      <x:c r="P738" s="1" t="str">
        <x:f>TEXT(B738,"yyyy-mm")</x:f>
        <x:v>2025-11</x:v>
      </x:c>
    </x:row>
    <x:row r="739">
      <x:c r="A739" s="1" t="str">
        <x:v>ORD-0735</x:v>
      </x:c>
      <x:c r="B739" s="4" t="d">
        <x:v>2025-06-10T00:00:00.000Z</x:v>
      </x:c>
      <x:c r="C739" s="1" t="str">
        <x:v>C-226</x:v>
      </x:c>
      <x:c r="D739" s="1" t="str">
        <x:v>West</x:v>
      </x:c>
      <x:c r="E739" s="1" t="str">
        <x:v>Electronics</x:v>
      </x:c>
      <x:c r="F739" s="1" t="str">
        <x:v>Headphones</x:v>
      </x:c>
      <x:c r="G739" s="1" t="n">
        <x:v>3</x:v>
      </x:c>
      <x:c r="H739" s="2" t="n">
        <x:v>2200</x:v>
      </x:c>
      <x:c r="I739" s="3" t="n">
        <x:v>0.05</x:v>
      </x:c>
      <x:c r="J739" s="2" t="n">
        <x:v>1450</x:v>
      </x:c>
      <x:c r="K739" s="2" t="n">
        <x:v>80</x:v>
      </x:c>
      <x:c r="L739" s="2" t="n">
        <x:f>G739*H739</x:f>
        <x:v>6600</x:v>
      </x:c>
      <x:c r="M739" s="2" t="n">
        <x:f>ROUND(L739*(1-I739),2)</x:f>
        <x:v>6270</x:v>
      </x:c>
      <x:c r="N739" s="2" t="n">
        <x:f>G739*J739</x:f>
        <x:v>4350</x:v>
      </x:c>
      <x:c r="O739" s="2" t="n">
        <x:f>M739-N739-K739</x:f>
        <x:v>1840</x:v>
      </x:c>
      <x:c r="P739" s="1" t="str">
        <x:f>TEXT(B739,"yyyy-mm")</x:f>
        <x:v>2025-06</x:v>
      </x:c>
    </x:row>
    <x:row r="740">
      <x:c r="A740" s="1" t="str">
        <x:v>ORD-0736</x:v>
      </x:c>
      <x:c r="B740" s="4" t="d">
        <x:v>2025-07-20T00:00:00.000Z</x:v>
      </x:c>
      <x:c r="C740" s="1" t="str">
        <x:v>C-028</x:v>
      </x:c>
      <x:c r="D740" s="1" t="str">
        <x:v>South</x:v>
      </x:c>
      <x:c r="E740" s="1" t="str">
        <x:v>Home</x:v>
      </x:c>
      <x:c r="F740" s="1" t="str">
        <x:v>Office chair</x:v>
      </x:c>
      <x:c r="G740" s="1" t="n">
        <x:v>4</x:v>
      </x:c>
      <x:c r="H740" s="2" t="n">
        <x:v>5500</x:v>
      </x:c>
      <x:c r="I740" s="3" t="n">
        <x:v>0.1</x:v>
      </x:c>
      <x:c r="J740" s="2" t="n">
        <x:v>4400</x:v>
      </x:c>
      <x:c r="K740" s="2" t="n">
        <x:v>120</x:v>
      </x:c>
      <x:c r="L740" s="2" t="n">
        <x:f>G740*H740</x:f>
        <x:v>22000</x:v>
      </x:c>
      <x:c r="M740" s="2" t="n">
        <x:f>ROUND(L740*(1-I740),2)</x:f>
        <x:v>19800</x:v>
      </x:c>
      <x:c r="N740" s="2" t="n">
        <x:f>G740*J740</x:f>
        <x:v>17600</x:v>
      </x:c>
      <x:c r="O740" s="2" t="n">
        <x:f>M740-N740-K740</x:f>
        <x:v>2080</x:v>
      </x:c>
      <x:c r="P740" s="1" t="str">
        <x:f>TEXT(B740,"yyyy-mm")</x:f>
        <x:v>2025-07</x:v>
      </x:c>
    </x:row>
    <x:row r="741">
      <x:c r="A741" s="1" t="str">
        <x:v>ORD-0737</x:v>
      </x:c>
      <x:c r="B741" s="4" t="d">
        <x:v>2025-07-06T00:00:00.000Z</x:v>
      </x:c>
      <x:c r="C741" s="1" t="str">
        <x:v>C-300</x:v>
      </x:c>
      <x:c r="D741" s="1" t="str">
        <x:v>South</x:v>
      </x:c>
      <x:c r="E741" s="1" t="str">
        <x:v>Home</x:v>
      </x:c>
      <x:c r="F741" s="1" t="str">
        <x:v>Storage box</x:v>
      </x:c>
      <x:c r="G741" s="1" t="n">
        <x:v>4</x:v>
      </x:c>
      <x:c r="H741" s="2" t="n">
        <x:v>800</x:v>
      </x:c>
      <x:c r="I741" s="3" t="n">
        <x:v>0</x:v>
      </x:c>
      <x:c r="J741" s="2" t="n">
        <x:v>420</x:v>
      </x:c>
      <x:c r="K741" s="2" t="n">
        <x:v>80</x:v>
      </x:c>
      <x:c r="L741" s="2" t="n">
        <x:f>G741*H741</x:f>
        <x:v>3200</x:v>
      </x:c>
      <x:c r="M741" s="2" t="n">
        <x:f>ROUND(L741*(1-I741),2)</x:f>
        <x:v>3200</x:v>
      </x:c>
      <x:c r="N741" s="2" t="n">
        <x:f>G741*J741</x:f>
        <x:v>1680</x:v>
      </x:c>
      <x:c r="O741" s="2" t="n">
        <x:f>M741-N741-K741</x:f>
        <x:v>1440</x:v>
      </x:c>
      <x:c r="P741" s="1" t="str">
        <x:f>TEXT(B741,"yyyy-mm")</x:f>
        <x:v>2025-07</x:v>
      </x:c>
    </x:row>
    <x:row r="742">
      <x:c r="A742" s="1" t="str">
        <x:v>ORD-0738</x:v>
      </x:c>
      <x:c r="B742" s="4" t="d">
        <x:v>2025-05-15T00:00:00.000Z</x:v>
      </x:c>
      <x:c r="C742" s="1" t="str">
        <x:v>C-104</x:v>
      </x:c>
      <x:c r="D742" s="1" t="str">
        <x:v>West</x:v>
      </x:c>
      <x:c r="E742" s="1" t="str">
        <x:v>Electronics</x:v>
      </x:c>
      <x:c r="F742" s="1" t="str">
        <x:v>Headphones</x:v>
      </x:c>
      <x:c r="G742" s="1" t="n">
        <x:v>1</x:v>
      </x:c>
      <x:c r="H742" s="2" t="n">
        <x:v>2200</x:v>
      </x:c>
      <x:c r="I742" s="3" t="n">
        <x:v>0.05</x:v>
      </x:c>
      <x:c r="J742" s="2" t="n">
        <x:v>1450</x:v>
      </x:c>
      <x:c r="K742" s="2" t="n">
        <x:v>80</x:v>
      </x:c>
      <x:c r="L742" s="2" t="n">
        <x:f>G742*H742</x:f>
        <x:v>2200</x:v>
      </x:c>
      <x:c r="M742" s="2" t="n">
        <x:f>ROUND(L742*(1-I742),2)</x:f>
        <x:v>2090</x:v>
      </x:c>
      <x:c r="N742" s="2" t="n">
        <x:f>G742*J742</x:f>
        <x:v>1450</x:v>
      </x:c>
      <x:c r="O742" s="2" t="n">
        <x:f>M742-N742-K742</x:f>
        <x:v>560</x:v>
      </x:c>
      <x:c r="P742" s="1" t="str">
        <x:f>TEXT(B742,"yyyy-mm")</x:f>
        <x:v>2025-05</x:v>
      </x:c>
    </x:row>
    <x:row r="743">
      <x:c r="A743" s="1" t="str">
        <x:v>ORD-0739</x:v>
      </x:c>
      <x:c r="B743" s="4" t="d">
        <x:v>2025-05-24T00:00:00.000Z</x:v>
      </x:c>
      <x:c r="C743" s="1" t="str">
        <x:v>C-064</x:v>
      </x:c>
      <x:c r="D743" s="1" t="str">
        <x:v>North</x:v>
      </x:c>
      <x:c r="E743" s="1" t="str">
        <x:v>Electronics</x:v>
      </x:c>
      <x:c r="F743" s="1" t="str">
        <x:v>Smartwatch</x:v>
      </x:c>
      <x:c r="G743" s="1" t="n">
        <x:v>1</x:v>
      </x:c>
      <x:c r="H743" s="2" t="n">
        <x:v>4200</x:v>
      </x:c>
      <x:c r="I743" s="3" t="n">
        <x:v>0.35</x:v>
      </x:c>
      <x:c r="J743" s="2" t="n">
        <x:v>3000</x:v>
      </x:c>
      <x:c r="K743" s="2" t="n">
        <x:v>120</x:v>
      </x:c>
      <x:c r="L743" s="2" t="n">
        <x:f>G743*H743</x:f>
        <x:v>4200</x:v>
      </x:c>
      <x:c r="M743" s="2" t="n">
        <x:f>ROUND(L743*(1-I743),2)</x:f>
        <x:v>2730</x:v>
      </x:c>
      <x:c r="N743" s="2" t="n">
        <x:f>G743*J743</x:f>
        <x:v>3000</x:v>
      </x:c>
      <x:c r="O743" s="2" t="n">
        <x:f>M743-N743-K743</x:f>
        <x:v>-390</x:v>
      </x:c>
      <x:c r="P743" s="1" t="str">
        <x:f>TEXT(B743,"yyyy-mm")</x:f>
        <x:v>2025-05</x:v>
      </x:c>
    </x:row>
    <x:row r="744">
      <x:c r="A744" s="1" t="str">
        <x:v>ORD-0740</x:v>
      </x:c>
      <x:c r="B744" s="4" t="d">
        <x:v>2025-07-17T00:00:00.000Z</x:v>
      </x:c>
      <x:c r="C744" s="1" t="str">
        <x:v>C-197</x:v>
      </x:c>
      <x:c r="D744" s="1" t="str">
        <x:v>South</x:v>
      </x:c>
      <x:c r="E744" s="1" t="str">
        <x:v>Fashion</x:v>
      </x:c>
      <x:c r="F744" s="1" t="str">
        <x:v>Backpack</x:v>
      </x:c>
      <x:c r="G744" s="1" t="n">
        <x:v>4</x:v>
      </x:c>
      <x:c r="H744" s="2" t="n">
        <x:v>1300</x:v>
      </x:c>
      <x:c r="I744" s="3" t="n">
        <x:v>0</x:v>
      </x:c>
      <x:c r="J744" s="2" t="n">
        <x:v>650</x:v>
      </x:c>
      <x:c r="K744" s="2" t="n">
        <x:v>120</x:v>
      </x:c>
      <x:c r="L744" s="2" t="n">
        <x:f>G744*H744</x:f>
        <x:v>5200</x:v>
      </x:c>
      <x:c r="M744" s="2" t="n">
        <x:f>ROUND(L744*(1-I744),2)</x:f>
        <x:v>5200</x:v>
      </x:c>
      <x:c r="N744" s="2" t="n">
        <x:f>G744*J744</x:f>
        <x:v>2600</x:v>
      </x:c>
      <x:c r="O744" s="2" t="n">
        <x:f>M744-N744-K744</x:f>
        <x:v>2480</x:v>
      </x:c>
      <x:c r="P744" s="1" t="str">
        <x:f>TEXT(B744,"yyyy-mm")</x:f>
        <x:v>2025-07</x:v>
      </x:c>
    </x:row>
    <x:row r="745">
      <x:c r="A745" s="1" t="str">
        <x:v>ORD-0741</x:v>
      </x:c>
      <x:c r="B745" s="4" t="d">
        <x:v>2025-06-19T00:00:00.000Z</x:v>
      </x:c>
      <x:c r="C745" s="1" t="str">
        <x:v>C-077</x:v>
      </x:c>
      <x:c r="D745" s="1" t="str">
        <x:v>South</x:v>
      </x:c>
      <x:c r="E745" s="1" t="str">
        <x:v>Electronics</x:v>
      </x:c>
      <x:c r="F745" s="1" t="str">
        <x:v>Smartwatch</x:v>
      </x:c>
      <x:c r="G745" s="1" t="n">
        <x:v>2</x:v>
      </x:c>
      <x:c r="H745" s="2" t="n">
        <x:v>4200</x:v>
      </x:c>
      <x:c r="I745" s="3" t="n">
        <x:v>0.1</x:v>
      </x:c>
      <x:c r="J745" s="2" t="n">
        <x:v>3000</x:v>
      </x:c>
      <x:c r="K745" s="2" t="n">
        <x:v>50</x:v>
      </x:c>
      <x:c r="L745" s="2" t="n">
        <x:f>G745*H745</x:f>
        <x:v>8400</x:v>
      </x:c>
      <x:c r="M745" s="2" t="n">
        <x:f>ROUND(L745*(1-I745),2)</x:f>
        <x:v>7560</x:v>
      </x:c>
      <x:c r="N745" s="2" t="n">
        <x:f>G745*J745</x:f>
        <x:v>6000</x:v>
      </x:c>
      <x:c r="O745" s="2" t="n">
        <x:f>M745-N745-K745</x:f>
        <x:v>1510</x:v>
      </x:c>
      <x:c r="P745" s="1" t="str">
        <x:f>TEXT(B745,"yyyy-mm")</x:f>
        <x:v>2025-06</x:v>
      </x:c>
    </x:row>
    <x:row r="746">
      <x:c r="A746" s="1" t="str">
        <x:v>ORD-0742</x:v>
      </x:c>
      <x:c r="B746" s="4" t="d">
        <x:v>2025-11-10T00:00:00.000Z</x:v>
      </x:c>
      <x:c r="C746" s="1" t="str">
        <x:v>C-159</x:v>
      </x:c>
      <x:c r="D746" s="1" t="str">
        <x:v>West</x:v>
      </x:c>
      <x:c r="E746" s="1" t="str">
        <x:v>Electronics</x:v>
      </x:c>
      <x:c r="F746" s="1" t="str">
        <x:v>Headphones</x:v>
      </x:c>
      <x:c r="G746" s="1" t="n">
        <x:v>3</x:v>
      </x:c>
      <x:c r="H746" s="2" t="n">
        <x:v>2200</x:v>
      </x:c>
      <x:c r="I746" s="3" t="n">
        <x:v>0.15</x:v>
      </x:c>
      <x:c r="J746" s="2" t="n">
        <x:v>1450</x:v>
      </x:c>
      <x:c r="K746" s="2" t="n">
        <x:v>120</x:v>
      </x:c>
      <x:c r="L746" s="2" t="n">
        <x:f>G746*H746</x:f>
        <x:v>6600</x:v>
      </x:c>
      <x:c r="M746" s="2" t="n">
        <x:f>ROUND(L746*(1-I746),2)</x:f>
        <x:v>5610</x:v>
      </x:c>
      <x:c r="N746" s="2" t="n">
        <x:f>G746*J746</x:f>
        <x:v>4350</x:v>
      </x:c>
      <x:c r="O746" s="2" t="n">
        <x:f>M746-N746-K746</x:f>
        <x:v>1140</x:v>
      </x:c>
      <x:c r="P746" s="1" t="str">
        <x:f>TEXT(B746,"yyyy-mm")</x:f>
        <x:v>2025-11</x:v>
      </x:c>
    </x:row>
    <x:row r="747">
      <x:c r="A747" s="1" t="str">
        <x:v>ORD-0743</x:v>
      </x:c>
      <x:c r="B747" s="4" t="d">
        <x:v>2025-03-01T00:00:00.000Z</x:v>
      </x:c>
      <x:c r="C747" s="1" t="str">
        <x:v>C-130</x:v>
      </x:c>
      <x:c r="D747" s="1" t="str">
        <x:v>North</x:v>
      </x:c>
      <x:c r="E747" s="1" t="str">
        <x:v>Electronics</x:v>
      </x:c>
      <x:c r="F747" s="1" t="str">
        <x:v>Smartwatch</x:v>
      </x:c>
      <x:c r="G747" s="1" t="n">
        <x:v>4</x:v>
      </x:c>
      <x:c r="H747" s="2" t="n">
        <x:v>4200</x:v>
      </x:c>
      <x:c r="I747" s="3" t="n">
        <x:v>0.05</x:v>
      </x:c>
      <x:c r="J747" s="2" t="n">
        <x:v>3000</x:v>
      </x:c>
      <x:c r="K747" s="2" t="n">
        <x:v>80</x:v>
      </x:c>
      <x:c r="L747" s="2" t="n">
        <x:f>G747*H747</x:f>
        <x:v>16800</x:v>
      </x:c>
      <x:c r="M747" s="2" t="n">
        <x:f>ROUND(L747*(1-I747),2)</x:f>
        <x:v>15960</x:v>
      </x:c>
      <x:c r="N747" s="2" t="n">
        <x:f>G747*J747</x:f>
        <x:v>12000</x:v>
      </x:c>
      <x:c r="O747" s="2" t="n">
        <x:f>M747-N747-K747</x:f>
        <x:v>3880</x:v>
      </x:c>
      <x:c r="P747" s="1" t="str">
        <x:f>TEXT(B747,"yyyy-mm")</x:f>
        <x:v>2025-03</x:v>
      </x:c>
    </x:row>
    <x:row r="748">
      <x:c r="A748" s="1" t="str">
        <x:v>ORD-0744</x:v>
      </x:c>
      <x:c r="B748" s="4" t="d">
        <x:v>2025-11-20T00:00:00.000Z</x:v>
      </x:c>
      <x:c r="C748" s="1" t="str">
        <x:v>C-253</x:v>
      </x:c>
      <x:c r="D748" s="1" t="str">
        <x:v>South</x:v>
      </x:c>
      <x:c r="E748" s="1" t="str">
        <x:v>Home</x:v>
      </x:c>
      <x:c r="F748" s="1" t="str">
        <x:v>Storage box</x:v>
      </x:c>
      <x:c r="G748" s="1" t="n">
        <x:v>2</x:v>
      </x:c>
      <x:c r="H748" s="2" t="n">
        <x:v>800</x:v>
      </x:c>
      <x:c r="I748" s="3" t="n">
        <x:v>0</x:v>
      </x:c>
      <x:c r="J748" s="2" t="n">
        <x:v>420</x:v>
      </x:c>
      <x:c r="K748" s="2" t="n">
        <x:v>120</x:v>
      </x:c>
      <x:c r="L748" s="2" t="n">
        <x:f>G748*H748</x:f>
        <x:v>1600</x:v>
      </x:c>
      <x:c r="M748" s="2" t="n">
        <x:f>ROUND(L748*(1-I748),2)</x:f>
        <x:v>1600</x:v>
      </x:c>
      <x:c r="N748" s="2" t="n">
        <x:f>G748*J748</x:f>
        <x:v>840</x:v>
      </x:c>
      <x:c r="O748" s="2" t="n">
        <x:f>M748-N748-K748</x:f>
        <x:v>640</x:v>
      </x:c>
      <x:c r="P748" s="1" t="str">
        <x:f>TEXT(B748,"yyyy-mm")</x:f>
        <x:v>2025-11</x:v>
      </x:c>
    </x:row>
    <x:row r="749">
      <x:c r="A749" s="1" t="str">
        <x:v>ORD-0745</x:v>
      </x:c>
      <x:c r="B749" s="4" t="d">
        <x:v>2025-10-15T00:00:00.000Z</x:v>
      </x:c>
      <x:c r="C749" s="1" t="str">
        <x:v>C-041</x:v>
      </x:c>
      <x:c r="D749" s="1" t="str">
        <x:v>North</x:v>
      </x:c>
      <x:c r="E749" s="1" t="str">
        <x:v>Home</x:v>
      </x:c>
      <x:c r="F749" s="1" t="str">
        <x:v>Desk lamp</x:v>
      </x:c>
      <x:c r="G749" s="1" t="n">
        <x:v>2</x:v>
      </x:c>
      <x:c r="H749" s="2" t="n">
        <x:v>1100</x:v>
      </x:c>
      <x:c r="I749" s="3" t="n">
        <x:v>0.15</x:v>
      </x:c>
      <x:c r="J749" s="2" t="n">
        <x:v>650</x:v>
      </x:c>
      <x:c r="K749" s="2" t="n">
        <x:v>120</x:v>
      </x:c>
      <x:c r="L749" s="2" t="n">
        <x:f>G749*H749</x:f>
        <x:v>2200</x:v>
      </x:c>
      <x:c r="M749" s="2" t="n">
        <x:f>ROUND(L749*(1-I749),2)</x:f>
        <x:v>1870</x:v>
      </x:c>
      <x:c r="N749" s="2" t="n">
        <x:f>G749*J749</x:f>
        <x:v>1300</x:v>
      </x:c>
      <x:c r="O749" s="2" t="n">
        <x:f>M749-N749-K749</x:f>
        <x:v>450</x:v>
      </x:c>
      <x:c r="P749" s="1" t="str">
        <x:f>TEXT(B749,"yyyy-mm")</x:f>
        <x:v>2025-10</x:v>
      </x:c>
    </x:row>
    <x:row r="750">
      <x:c r="A750" s="1" t="str">
        <x:v>ORD-0746</x:v>
      </x:c>
      <x:c r="B750" s="4" t="d">
        <x:v>2025-05-02T00:00:00.000Z</x:v>
      </x:c>
      <x:c r="C750" s="1" t="str">
        <x:v>C-095</x:v>
      </x:c>
      <x:c r="D750" s="1" t="str">
        <x:v>South</x:v>
      </x:c>
      <x:c r="E750" s="1" t="str">
        <x:v>Home</x:v>
      </x:c>
      <x:c r="F750" s="1" t="str">
        <x:v>Storage box</x:v>
      </x:c>
      <x:c r="G750" s="1" t="n">
        <x:v>1</x:v>
      </x:c>
      <x:c r="H750" s="2" t="n">
        <x:v>800</x:v>
      </x:c>
      <x:c r="I750" s="3" t="n">
        <x:v>0.05</x:v>
      </x:c>
      <x:c r="J750" s="2" t="n">
        <x:v>420</x:v>
      </x:c>
      <x:c r="K750" s="2" t="n">
        <x:v>120</x:v>
      </x:c>
      <x:c r="L750" s="2" t="n">
        <x:f>G750*H750</x:f>
        <x:v>800</x:v>
      </x:c>
      <x:c r="M750" s="2" t="n">
        <x:f>ROUND(L750*(1-I750),2)</x:f>
        <x:v>760</x:v>
      </x:c>
      <x:c r="N750" s="2" t="n">
        <x:f>G750*J750</x:f>
        <x:v>420</x:v>
      </x:c>
      <x:c r="O750" s="2" t="n">
        <x:f>M750-N750-K750</x:f>
        <x:v>220</x:v>
      </x:c>
      <x:c r="P750" s="1" t="str">
        <x:f>TEXT(B750,"yyyy-mm")</x:f>
        <x:v>2025-05</x:v>
      </x:c>
    </x:row>
    <x:row r="751">
      <x:c r="A751" s="1" t="str">
        <x:v>ORD-0747</x:v>
      </x:c>
      <x:c r="B751" s="4" t="d">
        <x:v>2025-06-22T00:00:00.000Z</x:v>
      </x:c>
      <x:c r="C751" s="1" t="str">
        <x:v>C-296</x:v>
      </x:c>
      <x:c r="D751" s="1" t="str">
        <x:v>East</x:v>
      </x:c>
      <x:c r="E751" s="1" t="str">
        <x:v>Electronics</x:v>
      </x:c>
      <x:c r="F751" s="1" t="str">
        <x:v>Smartwatch</x:v>
      </x:c>
      <x:c r="G751" s="1" t="n">
        <x:v>3</x:v>
      </x:c>
      <x:c r="H751" s="2" t="n">
        <x:v>4200</x:v>
      </x:c>
      <x:c r="I751" s="3" t="n">
        <x:v>0</x:v>
      </x:c>
      <x:c r="J751" s="2" t="n">
        <x:v>3000</x:v>
      </x:c>
      <x:c r="K751" s="2" t="n">
        <x:v>50</x:v>
      </x:c>
      <x:c r="L751" s="2" t="n">
        <x:f>G751*H751</x:f>
        <x:v>12600</x:v>
      </x:c>
      <x:c r="M751" s="2" t="n">
        <x:f>ROUND(L751*(1-I751),2)</x:f>
        <x:v>12600</x:v>
      </x:c>
      <x:c r="N751" s="2" t="n">
        <x:f>G751*J751</x:f>
        <x:v>9000</x:v>
      </x:c>
      <x:c r="O751" s="2" t="n">
        <x:f>M751-N751-K751</x:f>
        <x:v>3550</x:v>
      </x:c>
      <x:c r="P751" s="1" t="str">
        <x:f>TEXT(B751,"yyyy-mm")</x:f>
        <x:v>2025-06</x:v>
      </x:c>
    </x:row>
    <x:row r="752">
      <x:c r="A752" s="1" t="str">
        <x:v>ORD-0748</x:v>
      </x:c>
      <x:c r="B752" s="4" t="d">
        <x:v>2025-01-06T00:00:00.000Z</x:v>
      </x:c>
      <x:c r="C752" s="1" t="str">
        <x:v>C-146</x:v>
      </x:c>
      <x:c r="D752" s="1" t="str">
        <x:v>South</x:v>
      </x:c>
      <x:c r="E752" s="1" t="str">
        <x:v>Home</x:v>
      </x:c>
      <x:c r="F752" s="1" t="str">
        <x:v>Office chair</x:v>
      </x:c>
      <x:c r="G752" s="1" t="n">
        <x:v>4</x:v>
      </x:c>
      <x:c r="H752" s="2" t="n">
        <x:v>5500</x:v>
      </x:c>
      <x:c r="I752" s="3" t="n">
        <x:v>0.05</x:v>
      </x:c>
      <x:c r="J752" s="2" t="n">
        <x:v>4400</x:v>
      </x:c>
      <x:c r="K752" s="2" t="n">
        <x:v>120</x:v>
      </x:c>
      <x:c r="L752" s="2" t="n">
        <x:f>G752*H752</x:f>
        <x:v>22000</x:v>
      </x:c>
      <x:c r="M752" s="2" t="n">
        <x:f>ROUND(L752*(1-I752),2)</x:f>
        <x:v>20900</x:v>
      </x:c>
      <x:c r="N752" s="2" t="n">
        <x:f>G752*J752</x:f>
        <x:v>17600</x:v>
      </x:c>
      <x:c r="O752" s="2" t="n">
        <x:f>M752-N752-K752</x:f>
        <x:v>3180</x:v>
      </x:c>
      <x:c r="P752" s="1" t="str">
        <x:f>TEXT(B752,"yyyy-mm")</x:f>
        <x:v>2025-01</x:v>
      </x:c>
    </x:row>
    <x:row r="753">
      <x:c r="A753" s="1" t="str">
        <x:v>ORD-0749</x:v>
      </x:c>
      <x:c r="B753" s="4" t="d">
        <x:v>2025-09-25T00:00:00.000Z</x:v>
      </x:c>
      <x:c r="C753" s="1" t="str">
        <x:v>C-154</x:v>
      </x:c>
      <x:c r="D753" s="1" t="str">
        <x:v>East</x:v>
      </x:c>
      <x:c r="E753" s="1" t="str">
        <x:v>Electronics</x:v>
      </x:c>
      <x:c r="F753" s="1" t="str">
        <x:v>Headphones</x:v>
      </x:c>
      <x:c r="G753" s="1" t="n">
        <x:v>3</x:v>
      </x:c>
      <x:c r="H753" s="2" t="n">
        <x:v>2200</x:v>
      </x:c>
      <x:c r="I753" s="3" t="n">
        <x:v>0</x:v>
      </x:c>
      <x:c r="J753" s="2" t="n">
        <x:v>1450</x:v>
      </x:c>
      <x:c r="K753" s="2" t="n">
        <x:v>80</x:v>
      </x:c>
      <x:c r="L753" s="2" t="n">
        <x:f>G753*H753</x:f>
        <x:v>6600</x:v>
      </x:c>
      <x:c r="M753" s="2" t="n">
        <x:f>ROUND(L753*(1-I753),2)</x:f>
        <x:v>6600</x:v>
      </x:c>
      <x:c r="N753" s="2" t="n">
        <x:f>G753*J753</x:f>
        <x:v>4350</x:v>
      </x:c>
      <x:c r="O753" s="2" t="n">
        <x:f>M753-N753-K753</x:f>
        <x:v>2170</x:v>
      </x:c>
      <x:c r="P753" s="1" t="str">
        <x:f>TEXT(B753,"yyyy-mm")</x:f>
        <x:v>2025-09</x:v>
      </x:c>
    </x:row>
    <x:row r="754">
      <x:c r="A754" s="1" t="str">
        <x:v>ORD-0750</x:v>
      </x:c>
      <x:c r="B754" s="4" t="d">
        <x:v>2025-11-03T00:00:00.000Z</x:v>
      </x:c>
      <x:c r="C754" s="1" t="str">
        <x:v>C-150</x:v>
      </x:c>
      <x:c r="D754" s="1" t="str">
        <x:v>West</x:v>
      </x:c>
      <x:c r="E754" s="1" t="str">
        <x:v>Home</x:v>
      </x:c>
      <x:c r="F754" s="1" t="str">
        <x:v>Office chair</x:v>
      </x:c>
      <x:c r="G754" s="1" t="n">
        <x:v>2</x:v>
      </x:c>
      <x:c r="H754" s="2" t="n">
        <x:v>5500</x:v>
      </x:c>
      <x:c r="I754" s="3" t="n">
        <x:v>0.25</x:v>
      </x:c>
      <x:c r="J754" s="2" t="n">
        <x:v>4400</x:v>
      </x:c>
      <x:c r="K754" s="2" t="n">
        <x:v>50</x:v>
      </x:c>
      <x:c r="L754" s="2" t="n">
        <x:f>G754*H754</x:f>
        <x:v>11000</x:v>
      </x:c>
      <x:c r="M754" s="2" t="n">
        <x:f>ROUND(L754*(1-I754),2)</x:f>
        <x:v>8250</x:v>
      </x:c>
      <x:c r="N754" s="2" t="n">
        <x:f>G754*J754</x:f>
        <x:v>8800</x:v>
      </x:c>
      <x:c r="O754" s="2" t="n">
        <x:f>M754-N754-K754</x:f>
        <x:v>-600</x:v>
      </x:c>
      <x:c r="P754" s="1" t="str">
        <x:f>TEXT(B754,"yyyy-mm")</x:f>
        <x:v>2025-11</x:v>
      </x:c>
    </x:row>
    <x:row r="755">
      <x:c r="A755" s="1" t="str">
        <x:v>ORD-0751</x:v>
      </x:c>
      <x:c r="B755" s="4" t="d">
        <x:v>2025-10-17T00:00:00.000Z</x:v>
      </x:c>
      <x:c r="C755" s="1" t="str">
        <x:v>C-212</x:v>
      </x:c>
      <x:c r="D755" s="1" t="str">
        <x:v>South</x:v>
      </x:c>
      <x:c r="E755" s="1" t="str">
        <x:v>Fashion</x:v>
      </x:c>
      <x:c r="F755" s="1" t="str">
        <x:v>Sneakers</x:v>
      </x:c>
      <x:c r="G755" s="1" t="n">
        <x:v>2</x:v>
      </x:c>
      <x:c r="H755" s="2" t="n">
        <x:v>2400</x:v>
      </x:c>
      <x:c r="I755" s="3" t="n">
        <x:v>0.1</x:v>
      </x:c>
      <x:c r="J755" s="2" t="n">
        <x:v>1200</x:v>
      </x:c>
      <x:c r="K755" s="2" t="n">
        <x:v>120</x:v>
      </x:c>
      <x:c r="L755" s="2" t="n">
        <x:f>G755*H755</x:f>
        <x:v>4800</x:v>
      </x:c>
      <x:c r="M755" s="2" t="n">
        <x:f>ROUND(L755*(1-I755),2)</x:f>
        <x:v>4320</x:v>
      </x:c>
      <x:c r="N755" s="2" t="n">
        <x:f>G755*J755</x:f>
        <x:v>2400</x:v>
      </x:c>
      <x:c r="O755" s="2" t="n">
        <x:f>M755-N755-K755</x:f>
        <x:v>1800</x:v>
      </x:c>
      <x:c r="P755" s="1" t="str">
        <x:f>TEXT(B755,"yyyy-mm")</x:f>
        <x:v>2025-10</x:v>
      </x:c>
    </x:row>
    <x:row r="756">
      <x:c r="A756" s="1" t="str">
        <x:v>ORD-0752</x:v>
      </x:c>
      <x:c r="B756" s="4" t="d">
        <x:v>2025-01-16T00:00:00.000Z</x:v>
      </x:c>
      <x:c r="C756" s="1" t="str">
        <x:v>C-148</x:v>
      </x:c>
      <x:c r="D756" s="1" t="str">
        <x:v>West</x:v>
      </x:c>
      <x:c r="E756" s="1" t="str">
        <x:v>Home</x:v>
      </x:c>
      <x:c r="F756" s="1" t="str">
        <x:v>Storage box</x:v>
      </x:c>
      <x:c r="G756" s="1" t="n">
        <x:v>3</x:v>
      </x:c>
      <x:c r="H756" s="2" t="n">
        <x:v>800</x:v>
      </x:c>
      <x:c r="I756" s="3" t="n">
        <x:v>0</x:v>
      </x:c>
      <x:c r="J756" s="2" t="n">
        <x:v>420</x:v>
      </x:c>
      <x:c r="K756" s="2" t="n">
        <x:v>80</x:v>
      </x:c>
      <x:c r="L756" s="2" t="n">
        <x:f>G756*H756</x:f>
        <x:v>2400</x:v>
      </x:c>
      <x:c r="M756" s="2" t="n">
        <x:f>ROUND(L756*(1-I756),2)</x:f>
        <x:v>2400</x:v>
      </x:c>
      <x:c r="N756" s="2" t="n">
        <x:f>G756*J756</x:f>
        <x:v>1260</x:v>
      </x:c>
      <x:c r="O756" s="2" t="n">
        <x:f>M756-N756-K756</x:f>
        <x:v>1060</x:v>
      </x:c>
      <x:c r="P756" s="1" t="str">
        <x:f>TEXT(B756,"yyyy-mm")</x:f>
        <x:v>2025-01</x:v>
      </x:c>
    </x:row>
    <x:row r="757">
      <x:c r="A757" s="1" t="str">
        <x:v>ORD-0753</x:v>
      </x:c>
      <x:c r="B757" s="4" t="d">
        <x:v>2025-08-20T00:00:00.000Z</x:v>
      </x:c>
      <x:c r="C757" s="1" t="str">
        <x:v>C-289</x:v>
      </x:c>
      <x:c r="D757" s="1" t="str">
        <x:v>West</x:v>
      </x:c>
      <x:c r="E757" s="1" t="str">
        <x:v>Fashion</x:v>
      </x:c>
      <x:c r="F757" s="1" t="str">
        <x:v>Backpack</x:v>
      </x:c>
      <x:c r="G757" s="1" t="n">
        <x:v>4</x:v>
      </x:c>
      <x:c r="H757" s="2" t="n">
        <x:v>1300</x:v>
      </x:c>
      <x:c r="I757" s="3" t="n">
        <x:v>0.05</x:v>
      </x:c>
      <x:c r="J757" s="2" t="n">
        <x:v>650</x:v>
      </x:c>
      <x:c r="K757" s="2" t="n">
        <x:v>80</x:v>
      </x:c>
      <x:c r="L757" s="2" t="n">
        <x:f>G757*H757</x:f>
        <x:v>5200</x:v>
      </x:c>
      <x:c r="M757" s="2" t="n">
        <x:f>ROUND(L757*(1-I757),2)</x:f>
        <x:v>4940</x:v>
      </x:c>
      <x:c r="N757" s="2" t="n">
        <x:f>G757*J757</x:f>
        <x:v>2600</x:v>
      </x:c>
      <x:c r="O757" s="2" t="n">
        <x:f>M757-N757-K757</x:f>
        <x:v>2260</x:v>
      </x:c>
      <x:c r="P757" s="1" t="str">
        <x:f>TEXT(B757,"yyyy-mm")</x:f>
        <x:v>2025-08</x:v>
      </x:c>
    </x:row>
    <x:row r="758">
      <x:c r="A758" s="1" t="str">
        <x:v>ORD-0754</x:v>
      </x:c>
      <x:c r="B758" s="4" t="d">
        <x:v>2025-11-10T00:00:00.000Z</x:v>
      </x:c>
      <x:c r="C758" s="1" t="str">
        <x:v>C-100</x:v>
      </x:c>
      <x:c r="D758" s="1" t="str">
        <x:v>North</x:v>
      </x:c>
      <x:c r="E758" s="1" t="str">
        <x:v>Fashion</x:v>
      </x:c>
      <x:c r="F758" s="1" t="str">
        <x:v>T-shirt</x:v>
      </x:c>
      <x:c r="G758" s="1" t="n">
        <x:v>1</x:v>
      </x:c>
      <x:c r="H758" s="2" t="n">
        <x:v>700</x:v>
      </x:c>
      <x:c r="I758" s="3" t="n">
        <x:v>0.35</x:v>
      </x:c>
      <x:c r="J758" s="2" t="n">
        <x:v>300</x:v>
      </x:c>
      <x:c r="K758" s="2" t="n">
        <x:v>50</x:v>
      </x:c>
      <x:c r="L758" s="2" t="n">
        <x:f>G758*H758</x:f>
        <x:v>700</x:v>
      </x:c>
      <x:c r="M758" s="2" t="n">
        <x:f>ROUND(L758*(1-I758),2)</x:f>
        <x:v>455</x:v>
      </x:c>
      <x:c r="N758" s="2" t="n">
        <x:f>G758*J758</x:f>
        <x:v>300</x:v>
      </x:c>
      <x:c r="O758" s="2" t="n">
        <x:f>M758-N758-K758</x:f>
        <x:v>105</x:v>
      </x:c>
      <x:c r="P758" s="1" t="str">
        <x:f>TEXT(B758,"yyyy-mm")</x:f>
        <x:v>2025-11</x:v>
      </x:c>
    </x:row>
    <x:row r="759">
      <x:c r="A759" s="1" t="str">
        <x:v>ORD-0755</x:v>
      </x:c>
      <x:c r="B759" s="4" t="d">
        <x:v>2025-07-28T00:00:00.000Z</x:v>
      </x:c>
      <x:c r="C759" s="1" t="str">
        <x:v>C-107</x:v>
      </x:c>
      <x:c r="D759" s="1" t="str">
        <x:v>West</x:v>
      </x:c>
      <x:c r="E759" s="1" t="str">
        <x:v>Electronics</x:v>
      </x:c>
      <x:c r="F759" s="1" t="str">
        <x:v>Keyboard</x:v>
      </x:c>
      <x:c r="G759" s="1" t="n">
        <x:v>4</x:v>
      </x:c>
      <x:c r="H759" s="2" t="n">
        <x:v>1500</x:v>
      </x:c>
      <x:c r="I759" s="3" t="n">
        <x:v>0.35</x:v>
      </x:c>
      <x:c r="J759" s="2" t="n">
        <x:v>900</x:v>
      </x:c>
      <x:c r="K759" s="2" t="n">
        <x:v>50</x:v>
      </x:c>
      <x:c r="L759" s="2" t="n">
        <x:f>G759*H759</x:f>
        <x:v>6000</x:v>
      </x:c>
      <x:c r="M759" s="2" t="n">
        <x:f>ROUND(L759*(1-I759),2)</x:f>
        <x:v>3900</x:v>
      </x:c>
      <x:c r="N759" s="2" t="n">
        <x:f>G759*J759</x:f>
        <x:v>3600</x:v>
      </x:c>
      <x:c r="O759" s="2" t="n">
        <x:f>M759-N759-K759</x:f>
        <x:v>250</x:v>
      </x:c>
      <x:c r="P759" s="1" t="str">
        <x:f>TEXT(B759,"yyyy-mm")</x:f>
        <x:v>2025-07</x:v>
      </x:c>
    </x:row>
    <x:row r="760">
      <x:c r="A760" s="1" t="str">
        <x:v>ORD-0756</x:v>
      </x:c>
      <x:c r="B760" s="4" t="d">
        <x:v>2025-05-07T00:00:00.000Z</x:v>
      </x:c>
      <x:c r="C760" s="1" t="str">
        <x:v>C-006</x:v>
      </x:c>
      <x:c r="D760" s="1" t="str">
        <x:v>South</x:v>
      </x:c>
      <x:c r="E760" s="1" t="str">
        <x:v>Home</x:v>
      </x:c>
      <x:c r="F760" s="1" t="str">
        <x:v>Storage box</x:v>
      </x:c>
      <x:c r="G760" s="1" t="n">
        <x:v>3</x:v>
      </x:c>
      <x:c r="H760" s="2" t="n">
        <x:v>800</x:v>
      </x:c>
      <x:c r="I760" s="3" t="n">
        <x:v>0.35</x:v>
      </x:c>
      <x:c r="J760" s="2" t="n">
        <x:v>420</x:v>
      </x:c>
      <x:c r="K760" s="2" t="n">
        <x:v>80</x:v>
      </x:c>
      <x:c r="L760" s="2" t="n">
        <x:f>G760*H760</x:f>
        <x:v>2400</x:v>
      </x:c>
      <x:c r="M760" s="2" t="n">
        <x:f>ROUND(L760*(1-I760),2)</x:f>
        <x:v>1560</x:v>
      </x:c>
      <x:c r="N760" s="2" t="n">
        <x:f>G760*J760</x:f>
        <x:v>1260</x:v>
      </x:c>
      <x:c r="O760" s="2" t="n">
        <x:f>M760-N760-K760</x:f>
        <x:v>220</x:v>
      </x:c>
      <x:c r="P760" s="1" t="str">
        <x:f>TEXT(B760,"yyyy-mm")</x:f>
        <x:v>2025-05</x:v>
      </x:c>
    </x:row>
    <x:row r="761">
      <x:c r="A761" s="1" t="str">
        <x:v>ORD-0757</x:v>
      </x:c>
      <x:c r="B761" s="4" t="d">
        <x:v>2025-11-17T00:00:00.000Z</x:v>
      </x:c>
      <x:c r="C761" s="1" t="str">
        <x:v>C-282</x:v>
      </x:c>
      <x:c r="D761" s="1" t="str">
        <x:v>East</x:v>
      </x:c>
      <x:c r="E761" s="1" t="str">
        <x:v>Fashion</x:v>
      </x:c>
      <x:c r="F761" s="1" t="str">
        <x:v>Sneakers</x:v>
      </x:c>
      <x:c r="G761" s="1" t="n">
        <x:v>1</x:v>
      </x:c>
      <x:c r="H761" s="2" t="n">
        <x:v>2400</x:v>
      </x:c>
      <x:c r="I761" s="3" t="n">
        <x:v>0.1</x:v>
      </x:c>
      <x:c r="J761" s="2" t="n">
        <x:v>1200</x:v>
      </x:c>
      <x:c r="K761" s="2" t="n">
        <x:v>50</x:v>
      </x:c>
      <x:c r="L761" s="2" t="n">
        <x:f>G761*H761</x:f>
        <x:v>2400</x:v>
      </x:c>
      <x:c r="M761" s="2" t="n">
        <x:f>ROUND(L761*(1-I761),2)</x:f>
        <x:v>2160</x:v>
      </x:c>
      <x:c r="N761" s="2" t="n">
        <x:f>G761*J761</x:f>
        <x:v>1200</x:v>
      </x:c>
      <x:c r="O761" s="2" t="n">
        <x:f>M761-N761-K761</x:f>
        <x:v>910</x:v>
      </x:c>
      <x:c r="P761" s="1" t="str">
        <x:f>TEXT(B761,"yyyy-mm")</x:f>
        <x:v>2025-11</x:v>
      </x:c>
    </x:row>
    <x:row r="762">
      <x:c r="A762" s="1" t="str">
        <x:v>ORD-0758</x:v>
      </x:c>
      <x:c r="B762" s="4" t="d">
        <x:v>2025-10-24T00:00:00.000Z</x:v>
      </x:c>
      <x:c r="C762" s="1" t="str">
        <x:v>C-292</x:v>
      </x:c>
      <x:c r="D762" s="1" t="str">
        <x:v>North</x:v>
      </x:c>
      <x:c r="E762" s="1" t="str">
        <x:v>Fashion</x:v>
      </x:c>
      <x:c r="F762" s="1" t="str">
        <x:v>Backpack</x:v>
      </x:c>
      <x:c r="G762" s="1" t="n">
        <x:v>2</x:v>
      </x:c>
      <x:c r="H762" s="2" t="n">
        <x:v>1300</x:v>
      </x:c>
      <x:c r="I762" s="3" t="n">
        <x:v>0.15</x:v>
      </x:c>
      <x:c r="J762" s="2" t="n">
        <x:v>650</x:v>
      </x:c>
      <x:c r="K762" s="2" t="n">
        <x:v>50</x:v>
      </x:c>
      <x:c r="L762" s="2" t="n">
        <x:f>G762*H762</x:f>
        <x:v>2600</x:v>
      </x:c>
      <x:c r="M762" s="2" t="n">
        <x:f>ROUND(L762*(1-I762),2)</x:f>
        <x:v>2210</x:v>
      </x:c>
      <x:c r="N762" s="2" t="n">
        <x:f>G762*J762</x:f>
        <x:v>1300</x:v>
      </x:c>
      <x:c r="O762" s="2" t="n">
        <x:f>M762-N762-K762</x:f>
        <x:v>860</x:v>
      </x:c>
      <x:c r="P762" s="1" t="str">
        <x:f>TEXT(B762,"yyyy-mm")</x:f>
        <x:v>2025-10</x:v>
      </x:c>
    </x:row>
    <x:row r="763">
      <x:c r="A763" s="1" t="str">
        <x:v>ORD-0759</x:v>
      </x:c>
      <x:c r="B763" s="4" t="d">
        <x:v>2025-05-16T00:00:00.000Z</x:v>
      </x:c>
      <x:c r="C763" s="1" t="str">
        <x:v>C-243</x:v>
      </x:c>
      <x:c r="D763" s="1" t="str">
        <x:v>North</x:v>
      </x:c>
      <x:c r="E763" s="1" t="str">
        <x:v>Fashion</x:v>
      </x:c>
      <x:c r="F763" s="1" t="str">
        <x:v>Backpack</x:v>
      </x:c>
      <x:c r="G763" s="1" t="n">
        <x:v>2</x:v>
      </x:c>
      <x:c r="H763" s="2" t="n">
        <x:v>1300</x:v>
      </x:c>
      <x:c r="I763" s="3" t="n">
        <x:v>0.35</x:v>
      </x:c>
      <x:c r="J763" s="2" t="n">
        <x:v>650</x:v>
      </x:c>
      <x:c r="K763" s="2" t="n">
        <x:v>80</x:v>
      </x:c>
      <x:c r="L763" s="2" t="n">
        <x:f>G763*H763</x:f>
        <x:v>2600</x:v>
      </x:c>
      <x:c r="M763" s="2" t="n">
        <x:f>ROUND(L763*(1-I763),2)</x:f>
        <x:v>1690</x:v>
      </x:c>
      <x:c r="N763" s="2" t="n">
        <x:f>G763*J763</x:f>
        <x:v>1300</x:v>
      </x:c>
      <x:c r="O763" s="2" t="n">
        <x:f>M763-N763-K763</x:f>
        <x:v>310</x:v>
      </x:c>
      <x:c r="P763" s="1" t="str">
        <x:f>TEXT(B763,"yyyy-mm")</x:f>
        <x:v>2025-05</x:v>
      </x:c>
    </x:row>
    <x:row r="764">
      <x:c r="A764" s="1" t="str">
        <x:v>ORD-0760</x:v>
      </x:c>
      <x:c r="B764" s="4" t="d">
        <x:v>2025-03-29T00:00:00.000Z</x:v>
      </x:c>
      <x:c r="C764" s="1" t="str">
        <x:v>C-172</x:v>
      </x:c>
      <x:c r="D764" s="1" t="str">
        <x:v>West</x:v>
      </x:c>
      <x:c r="E764" s="1" t="str">
        <x:v>Home</x:v>
      </x:c>
      <x:c r="F764" s="1" t="str">
        <x:v>Desk lamp</x:v>
      </x:c>
      <x:c r="G764" s="1" t="n">
        <x:v>4</x:v>
      </x:c>
      <x:c r="H764" s="2" t="n">
        <x:v>1100</x:v>
      </x:c>
      <x:c r="I764" s="3" t="n">
        <x:v>0.25</x:v>
      </x:c>
      <x:c r="J764" s="2" t="n">
        <x:v>650</x:v>
      </x:c>
      <x:c r="K764" s="2" t="n">
        <x:v>120</x:v>
      </x:c>
      <x:c r="L764" s="2" t="n">
        <x:f>G764*H764</x:f>
        <x:v>4400</x:v>
      </x:c>
      <x:c r="M764" s="2" t="n">
        <x:f>ROUND(L764*(1-I764),2)</x:f>
        <x:v>3300</x:v>
      </x:c>
      <x:c r="N764" s="2" t="n">
        <x:f>G764*J764</x:f>
        <x:v>2600</x:v>
      </x:c>
      <x:c r="O764" s="2" t="n">
        <x:f>M764-N764-K764</x:f>
        <x:v>580</x:v>
      </x:c>
      <x:c r="P764" s="1" t="str">
        <x:f>TEXT(B764,"yyyy-mm")</x:f>
        <x:v>2025-03</x:v>
      </x:c>
    </x:row>
    <x:row r="765">
      <x:c r="A765" s="1" t="str">
        <x:v>ORD-0761</x:v>
      </x:c>
      <x:c r="B765" s="4" t="d">
        <x:v>2025-01-19T00:00:00.000Z</x:v>
      </x:c>
      <x:c r="C765" s="1" t="str">
        <x:v>C-162</x:v>
      </x:c>
      <x:c r="D765" s="1" t="str">
        <x:v>North</x:v>
      </x:c>
      <x:c r="E765" s="1" t="str">
        <x:v>Home</x:v>
      </x:c>
      <x:c r="F765" s="1" t="str">
        <x:v>Storage box</x:v>
      </x:c>
      <x:c r="G765" s="1" t="n">
        <x:v>2</x:v>
      </x:c>
      <x:c r="H765" s="2" t="n">
        <x:v>800</x:v>
      </x:c>
      <x:c r="I765" s="3" t="n">
        <x:v>0.1</x:v>
      </x:c>
      <x:c r="J765" s="2" t="n">
        <x:v>420</x:v>
      </x:c>
      <x:c r="K765" s="2" t="n">
        <x:v>120</x:v>
      </x:c>
      <x:c r="L765" s="2" t="n">
        <x:f>G765*H765</x:f>
        <x:v>1600</x:v>
      </x:c>
      <x:c r="M765" s="2" t="n">
        <x:f>ROUND(L765*(1-I765),2)</x:f>
        <x:v>1440</x:v>
      </x:c>
      <x:c r="N765" s="2" t="n">
        <x:f>G765*J765</x:f>
        <x:v>840</x:v>
      </x:c>
      <x:c r="O765" s="2" t="n">
        <x:f>M765-N765-K765</x:f>
        <x:v>480</x:v>
      </x:c>
      <x:c r="P765" s="1" t="str">
        <x:f>TEXT(B765,"yyyy-mm")</x:f>
        <x:v>2025-01</x:v>
      </x:c>
    </x:row>
    <x:row r="766">
      <x:c r="A766" s="1" t="str">
        <x:v>ORD-0762</x:v>
      </x:c>
      <x:c r="B766" s="4" t="d">
        <x:v>2025-10-05T00:00:00.000Z</x:v>
      </x:c>
      <x:c r="C766" s="1" t="str">
        <x:v>C-144</x:v>
      </x:c>
      <x:c r="D766" s="1" t="str">
        <x:v>North</x:v>
      </x:c>
      <x:c r="E766" s="1" t="str">
        <x:v>Fashion</x:v>
      </x:c>
      <x:c r="F766" s="1" t="str">
        <x:v>Backpack</x:v>
      </x:c>
      <x:c r="G766" s="1" t="n">
        <x:v>3</x:v>
      </x:c>
      <x:c r="H766" s="2" t="n">
        <x:v>1300</x:v>
      </x:c>
      <x:c r="I766" s="3" t="n">
        <x:v>0</x:v>
      </x:c>
      <x:c r="J766" s="2" t="n">
        <x:v>650</x:v>
      </x:c>
      <x:c r="K766" s="2" t="n">
        <x:v>80</x:v>
      </x:c>
      <x:c r="L766" s="2" t="n">
        <x:f>G766*H766</x:f>
        <x:v>3900</x:v>
      </x:c>
      <x:c r="M766" s="2" t="n">
        <x:f>ROUND(L766*(1-I766),2)</x:f>
        <x:v>3900</x:v>
      </x:c>
      <x:c r="N766" s="2" t="n">
        <x:f>G766*J766</x:f>
        <x:v>1950</x:v>
      </x:c>
      <x:c r="O766" s="2" t="n">
        <x:f>M766-N766-K766</x:f>
        <x:v>1870</x:v>
      </x:c>
      <x:c r="P766" s="1" t="str">
        <x:f>TEXT(B766,"yyyy-mm")</x:f>
        <x:v>2025-10</x:v>
      </x:c>
    </x:row>
    <x:row r="767">
      <x:c r="A767" s="1" t="str">
        <x:v>ORD-0763</x:v>
      </x:c>
      <x:c r="B767" s="4" t="d">
        <x:v>2025-09-20T00:00:00.000Z</x:v>
      </x:c>
      <x:c r="C767" s="1" t="str">
        <x:v>C-200</x:v>
      </x:c>
      <x:c r="D767" s="1" t="str">
        <x:v>South</x:v>
      </x:c>
      <x:c r="E767" s="1" t="str">
        <x:v>Electronics</x:v>
      </x:c>
      <x:c r="F767" s="1" t="str">
        <x:v>Smartwatch</x:v>
      </x:c>
      <x:c r="G767" s="1" t="n">
        <x:v>1</x:v>
      </x:c>
      <x:c r="H767" s="2" t="n">
        <x:v>4200</x:v>
      </x:c>
      <x:c r="I767" s="3" t="n">
        <x:v>0.25</x:v>
      </x:c>
      <x:c r="J767" s="2" t="n">
        <x:v>3000</x:v>
      </x:c>
      <x:c r="K767" s="2" t="n">
        <x:v>80</x:v>
      </x:c>
      <x:c r="L767" s="2" t="n">
        <x:f>G767*H767</x:f>
        <x:v>4200</x:v>
      </x:c>
      <x:c r="M767" s="2" t="n">
        <x:f>ROUND(L767*(1-I767),2)</x:f>
        <x:v>3150</x:v>
      </x:c>
      <x:c r="N767" s="2" t="n">
        <x:f>G767*J767</x:f>
        <x:v>3000</x:v>
      </x:c>
      <x:c r="O767" s="2" t="n">
        <x:f>M767-N767-K767</x:f>
        <x:v>70</x:v>
      </x:c>
      <x:c r="P767" s="1" t="str">
        <x:f>TEXT(B767,"yyyy-mm")</x:f>
        <x:v>2025-09</x:v>
      </x:c>
    </x:row>
    <x:row r="768">
      <x:c r="A768" s="1" t="str">
        <x:v>ORD-0764</x:v>
      </x:c>
      <x:c r="B768" s="4" t="d">
        <x:v>2025-10-02T00:00:00.000Z</x:v>
      </x:c>
      <x:c r="C768" s="1" t="str">
        <x:v>C-140</x:v>
      </x:c>
      <x:c r="D768" s="1" t="str">
        <x:v>West</x:v>
      </x:c>
      <x:c r="E768" s="1" t="str">
        <x:v>Fashion</x:v>
      </x:c>
      <x:c r="F768" s="1" t="str">
        <x:v>Backpack</x:v>
      </x:c>
      <x:c r="G768" s="1" t="n">
        <x:v>1</x:v>
      </x:c>
      <x:c r="H768" s="2" t="n">
        <x:v>1300</x:v>
      </x:c>
      <x:c r="I768" s="3" t="n">
        <x:v>0.35</x:v>
      </x:c>
      <x:c r="J768" s="2" t="n">
        <x:v>650</x:v>
      </x:c>
      <x:c r="K768" s="2" t="n">
        <x:v>80</x:v>
      </x:c>
      <x:c r="L768" s="2" t="n">
        <x:f>G768*H768</x:f>
        <x:v>1300</x:v>
      </x:c>
      <x:c r="M768" s="2" t="n">
        <x:f>ROUND(L768*(1-I768),2)</x:f>
        <x:v>845</x:v>
      </x:c>
      <x:c r="N768" s="2" t="n">
        <x:f>G768*J768</x:f>
        <x:v>650</x:v>
      </x:c>
      <x:c r="O768" s="2" t="n">
        <x:f>M768-N768-K768</x:f>
        <x:v>115</x:v>
      </x:c>
      <x:c r="P768" s="1" t="str">
        <x:f>TEXT(B768,"yyyy-mm")</x:f>
        <x:v>2025-10</x:v>
      </x:c>
    </x:row>
    <x:row r="769">
      <x:c r="A769" s="1" t="str">
        <x:v>ORD-0765</x:v>
      </x:c>
      <x:c r="B769" s="4" t="d">
        <x:v>2025-11-27T00:00:00.000Z</x:v>
      </x:c>
      <x:c r="C769" s="1" t="str">
        <x:v>C-155</x:v>
      </x:c>
      <x:c r="D769" s="1" t="str">
        <x:v>South</x:v>
      </x:c>
      <x:c r="E769" s="1" t="str">
        <x:v>Fashion</x:v>
      </x:c>
      <x:c r="F769" s="1" t="str">
        <x:v>Backpack</x:v>
      </x:c>
      <x:c r="G769" s="1" t="n">
        <x:v>3</x:v>
      </x:c>
      <x:c r="H769" s="2" t="n">
        <x:v>1300</x:v>
      </x:c>
      <x:c r="I769" s="3" t="n">
        <x:v>0.15</x:v>
      </x:c>
      <x:c r="J769" s="2" t="n">
        <x:v>650</x:v>
      </x:c>
      <x:c r="K769" s="2" t="n">
        <x:v>50</x:v>
      </x:c>
      <x:c r="L769" s="2" t="n">
        <x:f>G769*H769</x:f>
        <x:v>3900</x:v>
      </x:c>
      <x:c r="M769" s="2" t="n">
        <x:f>ROUND(L769*(1-I769),2)</x:f>
        <x:v>3315</x:v>
      </x:c>
      <x:c r="N769" s="2" t="n">
        <x:f>G769*J769</x:f>
        <x:v>1950</x:v>
      </x:c>
      <x:c r="O769" s="2" t="n">
        <x:f>M769-N769-K769</x:f>
        <x:v>1315</x:v>
      </x:c>
      <x:c r="P769" s="1" t="str">
        <x:f>TEXT(B769,"yyyy-mm")</x:f>
        <x:v>2025-11</x:v>
      </x:c>
    </x:row>
    <x:row r="770">
      <x:c r="A770" s="1" t="str">
        <x:v>ORD-0766</x:v>
      </x:c>
      <x:c r="B770" s="4" t="d">
        <x:v>2025-02-03T00:00:00.000Z</x:v>
      </x:c>
      <x:c r="C770" s="1" t="str">
        <x:v>C-228</x:v>
      </x:c>
      <x:c r="D770" s="1" t="str">
        <x:v>North</x:v>
      </x:c>
      <x:c r="E770" s="1" t="str">
        <x:v>Electronics</x:v>
      </x:c>
      <x:c r="F770" s="1" t="str">
        <x:v>Headphones</x:v>
      </x:c>
      <x:c r="G770" s="1" t="n">
        <x:v>4</x:v>
      </x:c>
      <x:c r="H770" s="2" t="n">
        <x:v>2200</x:v>
      </x:c>
      <x:c r="I770" s="3" t="n">
        <x:v>0.05</x:v>
      </x:c>
      <x:c r="J770" s="2" t="n">
        <x:v>1450</x:v>
      </x:c>
      <x:c r="K770" s="2" t="n">
        <x:v>120</x:v>
      </x:c>
      <x:c r="L770" s="2" t="n">
        <x:f>G770*H770</x:f>
        <x:v>8800</x:v>
      </x:c>
      <x:c r="M770" s="2" t="n">
        <x:f>ROUND(L770*(1-I770),2)</x:f>
        <x:v>8360</x:v>
      </x:c>
      <x:c r="N770" s="2" t="n">
        <x:f>G770*J770</x:f>
        <x:v>5800</x:v>
      </x:c>
      <x:c r="O770" s="2" t="n">
        <x:f>M770-N770-K770</x:f>
        <x:v>2440</x:v>
      </x:c>
      <x:c r="P770" s="1" t="str">
        <x:f>TEXT(B770,"yyyy-mm")</x:f>
        <x:v>2025-02</x:v>
      </x:c>
    </x:row>
    <x:row r="771">
      <x:c r="A771" s="1" t="str">
        <x:v>ORD-0767</x:v>
      </x:c>
      <x:c r="B771" s="4" t="d">
        <x:v>2025-03-24T00:00:00.000Z</x:v>
      </x:c>
      <x:c r="C771" s="1" t="str">
        <x:v>C-269</x:v>
      </x:c>
      <x:c r="D771" s="1" t="str">
        <x:v>East</x:v>
      </x:c>
      <x:c r="E771" s="1" t="str">
        <x:v>Fashion</x:v>
      </x:c>
      <x:c r="F771" s="1" t="str">
        <x:v>Backpack</x:v>
      </x:c>
      <x:c r="G771" s="1" t="n">
        <x:v>3</x:v>
      </x:c>
      <x:c r="H771" s="2" t="n">
        <x:v>1300</x:v>
      </x:c>
      <x:c r="I771" s="3" t="n">
        <x:v>0.15</x:v>
      </x:c>
      <x:c r="J771" s="2" t="n">
        <x:v>650</x:v>
      </x:c>
      <x:c r="K771" s="2" t="n">
        <x:v>50</x:v>
      </x:c>
      <x:c r="L771" s="2" t="n">
        <x:f>G771*H771</x:f>
        <x:v>3900</x:v>
      </x:c>
      <x:c r="M771" s="2" t="n">
        <x:f>ROUND(L771*(1-I771),2)</x:f>
        <x:v>3315</x:v>
      </x:c>
      <x:c r="N771" s="2" t="n">
        <x:f>G771*J771</x:f>
        <x:v>1950</x:v>
      </x:c>
      <x:c r="O771" s="2" t="n">
        <x:f>M771-N771-K771</x:f>
        <x:v>1315</x:v>
      </x:c>
      <x:c r="P771" s="1" t="str">
        <x:f>TEXT(B771,"yyyy-mm")</x:f>
        <x:v>2025-03</x:v>
      </x:c>
    </x:row>
    <x:row r="772">
      <x:c r="A772" s="1" t="str">
        <x:v>ORD-0768</x:v>
      </x:c>
      <x:c r="B772" s="4" t="d">
        <x:v>2025-11-22T00:00:00.000Z</x:v>
      </x:c>
      <x:c r="C772" s="1" t="str">
        <x:v>C-068</x:v>
      </x:c>
      <x:c r="D772" s="1" t="str">
        <x:v>South</x:v>
      </x:c>
      <x:c r="E772" s="1" t="str">
        <x:v>Electronics</x:v>
      </x:c>
      <x:c r="F772" s="1" t="str">
        <x:v>Keyboard</x:v>
      </x:c>
      <x:c r="G772" s="1" t="n">
        <x:v>1</x:v>
      </x:c>
      <x:c r="H772" s="2" t="n">
        <x:v>1500</x:v>
      </x:c>
      <x:c r="I772" s="3" t="n">
        <x:v>0.25</x:v>
      </x:c>
      <x:c r="J772" s="2" t="n">
        <x:v>900</x:v>
      </x:c>
      <x:c r="K772" s="2" t="n">
        <x:v>80</x:v>
      </x:c>
      <x:c r="L772" s="2" t="n">
        <x:f>G772*H772</x:f>
        <x:v>1500</x:v>
      </x:c>
      <x:c r="M772" s="2" t="n">
        <x:f>ROUND(L772*(1-I772),2)</x:f>
        <x:v>1125</x:v>
      </x:c>
      <x:c r="N772" s="2" t="n">
        <x:f>G772*J772</x:f>
        <x:v>900</x:v>
      </x:c>
      <x:c r="O772" s="2" t="n">
        <x:f>M772-N772-K772</x:f>
        <x:v>145</x:v>
      </x:c>
      <x:c r="P772" s="1" t="str">
        <x:f>TEXT(B772,"yyyy-mm")</x:f>
        <x:v>2025-11</x:v>
      </x:c>
    </x:row>
    <x:row r="773">
      <x:c r="A773" s="1" t="str">
        <x:v>ORD-0769</x:v>
      </x:c>
      <x:c r="B773" s="4" t="d">
        <x:v>2025-06-01T00:00:00.000Z</x:v>
      </x:c>
      <x:c r="C773" s="1" t="str">
        <x:v>C-160</x:v>
      </x:c>
      <x:c r="D773" s="1" t="str">
        <x:v>North</x:v>
      </x:c>
      <x:c r="E773" s="1" t="str">
        <x:v>Home</x:v>
      </x:c>
      <x:c r="F773" s="1" t="str">
        <x:v>Storage box</x:v>
      </x:c>
      <x:c r="G773" s="1" t="n">
        <x:v>1</x:v>
      </x:c>
      <x:c r="H773" s="2" t="n">
        <x:v>800</x:v>
      </x:c>
      <x:c r="I773" s="3" t="n">
        <x:v>0</x:v>
      </x:c>
      <x:c r="J773" s="2" t="n">
        <x:v>420</x:v>
      </x:c>
      <x:c r="K773" s="2" t="n">
        <x:v>80</x:v>
      </x:c>
      <x:c r="L773" s="2" t="n">
        <x:f>G773*H773</x:f>
        <x:v>800</x:v>
      </x:c>
      <x:c r="M773" s="2" t="n">
        <x:f>ROUND(L773*(1-I773),2)</x:f>
        <x:v>800</x:v>
      </x:c>
      <x:c r="N773" s="2" t="n">
        <x:f>G773*J773</x:f>
        <x:v>420</x:v>
      </x:c>
      <x:c r="O773" s="2" t="n">
        <x:f>M773-N773-K773</x:f>
        <x:v>300</x:v>
      </x:c>
      <x:c r="P773" s="1" t="str">
        <x:f>TEXT(B773,"yyyy-mm")</x:f>
        <x:v>2025-06</x:v>
      </x:c>
    </x:row>
    <x:row r="774">
      <x:c r="A774" s="1" t="str">
        <x:v>ORD-0770</x:v>
      </x:c>
      <x:c r="B774" s="4" t="d">
        <x:v>2025-07-17T00:00:00.000Z</x:v>
      </x:c>
      <x:c r="C774" s="1" t="str">
        <x:v>C-160</x:v>
      </x:c>
      <x:c r="D774" s="1" t="str">
        <x:v>North</x:v>
      </x:c>
      <x:c r="E774" s="1" t="str">
        <x:v>Electronics</x:v>
      </x:c>
      <x:c r="F774" s="1" t="str">
        <x:v>Headphones</x:v>
      </x:c>
      <x:c r="G774" s="1" t="n">
        <x:v>3</x:v>
      </x:c>
      <x:c r="H774" s="2" t="n">
        <x:v>2200</x:v>
      </x:c>
      <x:c r="I774" s="3" t="n">
        <x:v>0</x:v>
      </x:c>
      <x:c r="J774" s="2" t="n">
        <x:v>1450</x:v>
      </x:c>
      <x:c r="K774" s="2" t="n">
        <x:v>120</x:v>
      </x:c>
      <x:c r="L774" s="2" t="n">
        <x:f>G774*H774</x:f>
        <x:v>6600</x:v>
      </x:c>
      <x:c r="M774" s="2" t="n">
        <x:f>ROUND(L774*(1-I774),2)</x:f>
        <x:v>6600</x:v>
      </x:c>
      <x:c r="N774" s="2" t="n">
        <x:f>G774*J774</x:f>
        <x:v>4350</x:v>
      </x:c>
      <x:c r="O774" s="2" t="n">
        <x:f>M774-N774-K774</x:f>
        <x:v>2130</x:v>
      </x:c>
      <x:c r="P774" s="1" t="str">
        <x:f>TEXT(B774,"yyyy-mm")</x:f>
        <x:v>2025-07</x:v>
      </x:c>
    </x:row>
    <x:row r="775">
      <x:c r="A775" s="1" t="str">
        <x:v>ORD-0771</x:v>
      </x:c>
      <x:c r="B775" s="4" t="d">
        <x:v>2025-11-07T00:00:00.000Z</x:v>
      </x:c>
      <x:c r="C775" s="1" t="str">
        <x:v>C-147</x:v>
      </x:c>
      <x:c r="D775" s="1" t="str">
        <x:v>East</x:v>
      </x:c>
      <x:c r="E775" s="1" t="str">
        <x:v>Fashion</x:v>
      </x:c>
      <x:c r="F775" s="1" t="str">
        <x:v>Backpack</x:v>
      </x:c>
      <x:c r="G775" s="1" t="n">
        <x:v>3</x:v>
      </x:c>
      <x:c r="H775" s="2" t="n">
        <x:v>1300</x:v>
      </x:c>
      <x:c r="I775" s="3" t="n">
        <x:v>0.05</x:v>
      </x:c>
      <x:c r="J775" s="2" t="n">
        <x:v>650</x:v>
      </x:c>
      <x:c r="K775" s="2" t="n">
        <x:v>80</x:v>
      </x:c>
      <x:c r="L775" s="2" t="n">
        <x:f>G775*H775</x:f>
        <x:v>3900</x:v>
      </x:c>
      <x:c r="M775" s="2" t="n">
        <x:f>ROUND(L775*(1-I775),2)</x:f>
        <x:v>3705</x:v>
      </x:c>
      <x:c r="N775" s="2" t="n">
        <x:f>G775*J775</x:f>
        <x:v>1950</x:v>
      </x:c>
      <x:c r="O775" s="2" t="n">
        <x:f>M775-N775-K775</x:f>
        <x:v>1675</x:v>
      </x:c>
      <x:c r="P775" s="1" t="str">
        <x:f>TEXT(B775,"yyyy-mm")</x:f>
        <x:v>2025-11</x:v>
      </x:c>
    </x:row>
    <x:row r="776">
      <x:c r="A776" s="1" t="str">
        <x:v>ORD-0772</x:v>
      </x:c>
      <x:c r="B776" s="4" t="d">
        <x:v>2025-10-06T00:00:00.000Z</x:v>
      </x:c>
      <x:c r="C776" s="1" t="str">
        <x:v>C-141</x:v>
      </x:c>
      <x:c r="D776" s="1" t="str">
        <x:v>North</x:v>
      </x:c>
      <x:c r="E776" s="1" t="str">
        <x:v>Fashion</x:v>
      </x:c>
      <x:c r="F776" s="1" t="str">
        <x:v>Sneakers</x:v>
      </x:c>
      <x:c r="G776" s="1" t="n">
        <x:v>1</x:v>
      </x:c>
      <x:c r="H776" s="2" t="n">
        <x:v>2400</x:v>
      </x:c>
      <x:c r="I776" s="3" t="n">
        <x:v>0.05</x:v>
      </x:c>
      <x:c r="J776" s="2" t="n">
        <x:v>1200</x:v>
      </x:c>
      <x:c r="K776" s="2" t="n">
        <x:v>120</x:v>
      </x:c>
      <x:c r="L776" s="2" t="n">
        <x:f>G776*H776</x:f>
        <x:v>2400</x:v>
      </x:c>
      <x:c r="M776" s="2" t="n">
        <x:f>ROUND(L776*(1-I776),2)</x:f>
        <x:v>2280</x:v>
      </x:c>
      <x:c r="N776" s="2" t="n">
        <x:f>G776*J776</x:f>
        <x:v>1200</x:v>
      </x:c>
      <x:c r="O776" s="2" t="n">
        <x:f>M776-N776-K776</x:f>
        <x:v>960</x:v>
      </x:c>
      <x:c r="P776" s="1" t="str">
        <x:f>TEXT(B776,"yyyy-mm")</x:f>
        <x:v>2025-10</x:v>
      </x:c>
    </x:row>
    <x:row r="777">
      <x:c r="A777" s="1" t="str">
        <x:v>ORD-0773</x:v>
      </x:c>
      <x:c r="B777" s="4" t="d">
        <x:v>2025-08-18T00:00:00.000Z</x:v>
      </x:c>
      <x:c r="C777" s="1" t="str">
        <x:v>C-180</x:v>
      </x:c>
      <x:c r="D777" s="1" t="str">
        <x:v>East</x:v>
      </x:c>
      <x:c r="E777" s="1" t="str">
        <x:v>Electronics</x:v>
      </x:c>
      <x:c r="F777" s="1" t="str">
        <x:v>Keyboard</x:v>
      </x:c>
      <x:c r="G777" s="1" t="n">
        <x:v>3</x:v>
      </x:c>
      <x:c r="H777" s="2" t="n">
        <x:v>1500</x:v>
      </x:c>
      <x:c r="I777" s="3" t="n">
        <x:v>0.05</x:v>
      </x:c>
      <x:c r="J777" s="2" t="n">
        <x:v>900</x:v>
      </x:c>
      <x:c r="K777" s="2" t="n">
        <x:v>50</x:v>
      </x:c>
      <x:c r="L777" s="2" t="n">
        <x:f>G777*H777</x:f>
        <x:v>4500</x:v>
      </x:c>
      <x:c r="M777" s="2" t="n">
        <x:f>ROUND(L777*(1-I777),2)</x:f>
        <x:v>4275</x:v>
      </x:c>
      <x:c r="N777" s="2" t="n">
        <x:f>G777*J777</x:f>
        <x:v>2700</x:v>
      </x:c>
      <x:c r="O777" s="2" t="n">
        <x:f>M777-N777-K777</x:f>
        <x:v>1525</x:v>
      </x:c>
      <x:c r="P777" s="1" t="str">
        <x:f>TEXT(B777,"yyyy-mm")</x:f>
        <x:v>2025-08</x:v>
      </x:c>
    </x:row>
    <x:row r="778">
      <x:c r="A778" s="1" t="str">
        <x:v>ORD-0774</x:v>
      </x:c>
      <x:c r="B778" s="4" t="d">
        <x:v>2025-12-08T00:00:00.000Z</x:v>
      </x:c>
      <x:c r="C778" s="1" t="str">
        <x:v>C-088</x:v>
      </x:c>
      <x:c r="D778" s="1" t="str">
        <x:v>North</x:v>
      </x:c>
      <x:c r="E778" s="1" t="str">
        <x:v>Fashion</x:v>
      </x:c>
      <x:c r="F778" s="1" t="str">
        <x:v>Sneakers</x:v>
      </x:c>
      <x:c r="G778" s="1" t="n">
        <x:v>3</x:v>
      </x:c>
      <x:c r="H778" s="2" t="n">
        <x:v>2400</x:v>
      </x:c>
      <x:c r="I778" s="3" t="n">
        <x:v>0.25</x:v>
      </x:c>
      <x:c r="J778" s="2" t="n">
        <x:v>1200</x:v>
      </x:c>
      <x:c r="K778" s="2" t="n">
        <x:v>120</x:v>
      </x:c>
      <x:c r="L778" s="2" t="n">
        <x:f>G778*H778</x:f>
        <x:v>7200</x:v>
      </x:c>
      <x:c r="M778" s="2" t="n">
        <x:f>ROUND(L778*(1-I778),2)</x:f>
        <x:v>5400</x:v>
      </x:c>
      <x:c r="N778" s="2" t="n">
        <x:f>G778*J778</x:f>
        <x:v>3600</x:v>
      </x:c>
      <x:c r="O778" s="2" t="n">
        <x:f>M778-N778-K778</x:f>
        <x:v>1680</x:v>
      </x:c>
      <x:c r="P778" s="1" t="str">
        <x:f>TEXT(B778,"yyyy-mm")</x:f>
        <x:v>2025-12</x:v>
      </x:c>
    </x:row>
    <x:row r="779">
      <x:c r="A779" s="1" t="str">
        <x:v>ORD-0775</x:v>
      </x:c>
      <x:c r="B779" s="4" t="d">
        <x:v>2025-11-02T00:00:00.000Z</x:v>
      </x:c>
      <x:c r="C779" s="1" t="str">
        <x:v>C-067</x:v>
      </x:c>
      <x:c r="D779" s="1" t="str">
        <x:v>North</x:v>
      </x:c>
      <x:c r="E779" s="1" t="str">
        <x:v>Home</x:v>
      </x:c>
      <x:c r="F779" s="1" t="str">
        <x:v>Storage box</x:v>
      </x:c>
      <x:c r="G779" s="1" t="n">
        <x:v>4</x:v>
      </x:c>
      <x:c r="H779" s="2" t="n">
        <x:v>800</x:v>
      </x:c>
      <x:c r="I779" s="3" t="n">
        <x:v>0.15</x:v>
      </x:c>
      <x:c r="J779" s="2" t="n">
        <x:v>420</x:v>
      </x:c>
      <x:c r="K779" s="2" t="n">
        <x:v>120</x:v>
      </x:c>
      <x:c r="L779" s="2" t="n">
        <x:f>G779*H779</x:f>
        <x:v>3200</x:v>
      </x:c>
      <x:c r="M779" s="2" t="n">
        <x:f>ROUND(L779*(1-I779),2)</x:f>
        <x:v>2720</x:v>
      </x:c>
      <x:c r="N779" s="2" t="n">
        <x:f>G779*J779</x:f>
        <x:v>1680</x:v>
      </x:c>
      <x:c r="O779" s="2" t="n">
        <x:f>M779-N779-K779</x:f>
        <x:v>920</x:v>
      </x:c>
      <x:c r="P779" s="1" t="str">
        <x:f>TEXT(B779,"yyyy-mm")</x:f>
        <x:v>2025-11</x:v>
      </x:c>
    </x:row>
    <x:row r="780">
      <x:c r="A780" s="1" t="str">
        <x:v>ORD-0776</x:v>
      </x:c>
      <x:c r="B780" s="4" t="d">
        <x:v>2025-01-03T00:00:00.000Z</x:v>
      </x:c>
      <x:c r="C780" s="1" t="str">
        <x:v>C-219</x:v>
      </x:c>
      <x:c r="D780" s="1" t="str">
        <x:v>West</x:v>
      </x:c>
      <x:c r="E780" s="1" t="str">
        <x:v>Home</x:v>
      </x:c>
      <x:c r="F780" s="1" t="str">
        <x:v>Office chair</x:v>
      </x:c>
      <x:c r="G780" s="1" t="n">
        <x:v>2</x:v>
      </x:c>
      <x:c r="H780" s="2" t="n">
        <x:v>5500</x:v>
      </x:c>
      <x:c r="I780" s="3" t="n">
        <x:v>0</x:v>
      </x:c>
      <x:c r="J780" s="2" t="n">
        <x:v>4400</x:v>
      </x:c>
      <x:c r="K780" s="2" t="n">
        <x:v>120</x:v>
      </x:c>
      <x:c r="L780" s="2" t="n">
        <x:f>G780*H780</x:f>
        <x:v>11000</x:v>
      </x:c>
      <x:c r="M780" s="2" t="n">
        <x:f>ROUND(L780*(1-I780),2)</x:f>
        <x:v>11000</x:v>
      </x:c>
      <x:c r="N780" s="2" t="n">
        <x:f>G780*J780</x:f>
        <x:v>8800</x:v>
      </x:c>
      <x:c r="O780" s="2" t="n">
        <x:f>M780-N780-K780</x:f>
        <x:v>2080</x:v>
      </x:c>
      <x:c r="P780" s="1" t="str">
        <x:f>TEXT(B780,"yyyy-mm")</x:f>
        <x:v>2025-01</x:v>
      </x:c>
    </x:row>
    <x:row r="781">
      <x:c r="A781" s="1" t="str">
        <x:v>ORD-0777</x:v>
      </x:c>
      <x:c r="B781" s="4" t="d">
        <x:v>2025-09-12T00:00:00.000Z</x:v>
      </x:c>
      <x:c r="C781" s="1" t="str">
        <x:v>C-160</x:v>
      </x:c>
      <x:c r="D781" s="1" t="str">
        <x:v>East</x:v>
      </x:c>
      <x:c r="E781" s="1" t="str">
        <x:v>Home</x:v>
      </x:c>
      <x:c r="F781" s="1" t="str">
        <x:v>Desk lamp</x:v>
      </x:c>
      <x:c r="G781" s="1" t="n">
        <x:v>2</x:v>
      </x:c>
      <x:c r="H781" s="2" t="n">
        <x:v>1100</x:v>
      </x:c>
      <x:c r="I781" s="3" t="n">
        <x:v>0.25</x:v>
      </x:c>
      <x:c r="J781" s="2" t="n">
        <x:v>650</x:v>
      </x:c>
      <x:c r="K781" s="2" t="n">
        <x:v>120</x:v>
      </x:c>
      <x:c r="L781" s="2" t="n">
        <x:f>G781*H781</x:f>
        <x:v>2200</x:v>
      </x:c>
      <x:c r="M781" s="2" t="n">
        <x:f>ROUND(L781*(1-I781),2)</x:f>
        <x:v>1650</x:v>
      </x:c>
      <x:c r="N781" s="2" t="n">
        <x:f>G781*J781</x:f>
        <x:v>1300</x:v>
      </x:c>
      <x:c r="O781" s="2" t="n">
        <x:f>M781-N781-K781</x:f>
        <x:v>230</x:v>
      </x:c>
      <x:c r="P781" s="1" t="str">
        <x:f>TEXT(B781,"yyyy-mm")</x:f>
        <x:v>2025-09</x:v>
      </x:c>
    </x:row>
    <x:row r="782">
      <x:c r="A782" s="1" t="str">
        <x:v>ORD-0778</x:v>
      </x:c>
      <x:c r="B782" s="4" t="d">
        <x:v>2025-10-30T00:00:00.000Z</x:v>
      </x:c>
      <x:c r="C782" s="1" t="str">
        <x:v>C-239</x:v>
      </x:c>
      <x:c r="D782" s="1" t="str">
        <x:v>South</x:v>
      </x:c>
      <x:c r="E782" s="1" t="str">
        <x:v>Home</x:v>
      </x:c>
      <x:c r="F782" s="1" t="str">
        <x:v>Storage box</x:v>
      </x:c>
      <x:c r="G782" s="1" t="n">
        <x:v>1</x:v>
      </x:c>
      <x:c r="H782" s="2" t="n">
        <x:v>800</x:v>
      </x:c>
      <x:c r="I782" s="3" t="n">
        <x:v>0</x:v>
      </x:c>
      <x:c r="J782" s="2" t="n">
        <x:v>420</x:v>
      </x:c>
      <x:c r="K782" s="2" t="n">
        <x:v>120</x:v>
      </x:c>
      <x:c r="L782" s="2" t="n">
        <x:f>G782*H782</x:f>
        <x:v>800</x:v>
      </x:c>
      <x:c r="M782" s="2" t="n">
        <x:f>ROUND(L782*(1-I782),2)</x:f>
        <x:v>800</x:v>
      </x:c>
      <x:c r="N782" s="2" t="n">
        <x:f>G782*J782</x:f>
        <x:v>420</x:v>
      </x:c>
      <x:c r="O782" s="2" t="n">
        <x:f>M782-N782-K782</x:f>
        <x:v>260</x:v>
      </x:c>
      <x:c r="P782" s="1" t="str">
        <x:f>TEXT(B782,"yyyy-mm")</x:f>
        <x:v>2025-10</x:v>
      </x:c>
    </x:row>
    <x:row r="783">
      <x:c r="A783" s="1" t="str">
        <x:v>ORD-0779</x:v>
      </x:c>
      <x:c r="B783" s="4" t="d">
        <x:v>2025-07-22T00:00:00.000Z</x:v>
      </x:c>
      <x:c r="C783" s="1" t="str">
        <x:v>C-239</x:v>
      </x:c>
      <x:c r="D783" s="1" t="str">
        <x:v>West</x:v>
      </x:c>
      <x:c r="E783" s="1" t="str">
        <x:v>Home</x:v>
      </x:c>
      <x:c r="F783" s="1" t="str">
        <x:v>Desk lamp</x:v>
      </x:c>
      <x:c r="G783" s="1" t="n">
        <x:v>2</x:v>
      </x:c>
      <x:c r="H783" s="2" t="n">
        <x:v>1100</x:v>
      </x:c>
      <x:c r="I783" s="3" t="n">
        <x:v>0.1</x:v>
      </x:c>
      <x:c r="J783" s="2" t="n">
        <x:v>650</x:v>
      </x:c>
      <x:c r="K783" s="2" t="n">
        <x:v>50</x:v>
      </x:c>
      <x:c r="L783" s="2" t="n">
        <x:f>G783*H783</x:f>
        <x:v>2200</x:v>
      </x:c>
      <x:c r="M783" s="2" t="n">
        <x:f>ROUND(L783*(1-I783),2)</x:f>
        <x:v>1980</x:v>
      </x:c>
      <x:c r="N783" s="2" t="n">
        <x:f>G783*J783</x:f>
        <x:v>1300</x:v>
      </x:c>
      <x:c r="O783" s="2" t="n">
        <x:f>M783-N783-K783</x:f>
        <x:v>630</x:v>
      </x:c>
      <x:c r="P783" s="1" t="str">
        <x:f>TEXT(B783,"yyyy-mm")</x:f>
        <x:v>2025-07</x:v>
      </x:c>
    </x:row>
    <x:row r="784">
      <x:c r="A784" s="1" t="str">
        <x:v>ORD-0780</x:v>
      </x:c>
      <x:c r="B784" s="4" t="d">
        <x:v>2025-03-13T00:00:00.000Z</x:v>
      </x:c>
      <x:c r="C784" s="1" t="str">
        <x:v>C-094</x:v>
      </x:c>
      <x:c r="D784" s="1" t="str">
        <x:v>East</x:v>
      </x:c>
      <x:c r="E784" s="1" t="str">
        <x:v>Fashion</x:v>
      </x:c>
      <x:c r="F784" s="1" t="str">
        <x:v>Sneakers</x:v>
      </x:c>
      <x:c r="G784" s="1" t="n">
        <x:v>3</x:v>
      </x:c>
      <x:c r="H784" s="2" t="n">
        <x:v>2400</x:v>
      </x:c>
      <x:c r="I784" s="3" t="n">
        <x:v>0.1</x:v>
      </x:c>
      <x:c r="J784" s="2" t="n">
        <x:v>1200</x:v>
      </x:c>
      <x:c r="K784" s="2" t="n">
        <x:v>80</x:v>
      </x:c>
      <x:c r="L784" s="2" t="n">
        <x:f>G784*H784</x:f>
        <x:v>7200</x:v>
      </x:c>
      <x:c r="M784" s="2" t="n">
        <x:f>ROUND(L784*(1-I784),2)</x:f>
        <x:v>6480</x:v>
      </x:c>
      <x:c r="N784" s="2" t="n">
        <x:f>G784*J784</x:f>
        <x:v>3600</x:v>
      </x:c>
      <x:c r="O784" s="2" t="n">
        <x:f>M784-N784-K784</x:f>
        <x:v>2800</x:v>
      </x:c>
      <x:c r="P784" s="1" t="str">
        <x:f>TEXT(B784,"yyyy-mm")</x:f>
        <x:v>2025-03</x:v>
      </x:c>
    </x:row>
    <x:row r="785">
      <x:c r="A785" s="1" t="str">
        <x:v>ORD-0781</x:v>
      </x:c>
      <x:c r="B785" s="4" t="d">
        <x:v>2025-07-04T00:00:00.000Z</x:v>
      </x:c>
      <x:c r="C785" s="1" t="str">
        <x:v>C-180</x:v>
      </x:c>
      <x:c r="D785" s="1" t="str">
        <x:v>West</x:v>
      </x:c>
      <x:c r="E785" s="1" t="str">
        <x:v>Electronics</x:v>
      </x:c>
      <x:c r="F785" s="1" t="str">
        <x:v>Keyboard</x:v>
      </x:c>
      <x:c r="G785" s="1" t="n">
        <x:v>4</x:v>
      </x:c>
      <x:c r="H785" s="2" t="n">
        <x:v>1500</x:v>
      </x:c>
      <x:c r="I785" s="3" t="n">
        <x:v>0.15</x:v>
      </x:c>
      <x:c r="J785" s="2" t="n">
        <x:v>900</x:v>
      </x:c>
      <x:c r="K785" s="2" t="n">
        <x:v>50</x:v>
      </x:c>
      <x:c r="L785" s="2" t="n">
        <x:f>G785*H785</x:f>
        <x:v>6000</x:v>
      </x:c>
      <x:c r="M785" s="2" t="n">
        <x:f>ROUND(L785*(1-I785),2)</x:f>
        <x:v>5100</x:v>
      </x:c>
      <x:c r="N785" s="2" t="n">
        <x:f>G785*J785</x:f>
        <x:v>3600</x:v>
      </x:c>
      <x:c r="O785" s="2" t="n">
        <x:f>M785-N785-K785</x:f>
        <x:v>1450</x:v>
      </x:c>
      <x:c r="P785" s="1" t="str">
        <x:f>TEXT(B785,"yyyy-mm")</x:f>
        <x:v>2025-07</x:v>
      </x:c>
    </x:row>
    <x:row r="786">
      <x:c r="A786" s="1" t="str">
        <x:v>ORD-0782</x:v>
      </x:c>
      <x:c r="B786" s="4" t="d">
        <x:v>2025-05-19T00:00:00.000Z</x:v>
      </x:c>
      <x:c r="C786" s="1" t="str">
        <x:v>C-066</x:v>
      </x:c>
      <x:c r="D786" s="1" t="str">
        <x:v>North</x:v>
      </x:c>
      <x:c r="E786" s="1" t="str">
        <x:v>Fashion</x:v>
      </x:c>
      <x:c r="F786" s="1" t="str">
        <x:v>Backpack</x:v>
      </x:c>
      <x:c r="G786" s="1" t="n">
        <x:v>4</x:v>
      </x:c>
      <x:c r="H786" s="2" t="n">
        <x:v>1300</x:v>
      </x:c>
      <x:c r="I786" s="3" t="n">
        <x:v>0.25</x:v>
      </x:c>
      <x:c r="J786" s="2" t="n">
        <x:v>650</x:v>
      </x:c>
      <x:c r="K786" s="2" t="n">
        <x:v>120</x:v>
      </x:c>
      <x:c r="L786" s="2" t="n">
        <x:f>G786*H786</x:f>
        <x:v>5200</x:v>
      </x:c>
      <x:c r="M786" s="2" t="n">
        <x:f>ROUND(L786*(1-I786),2)</x:f>
        <x:v>3900</x:v>
      </x:c>
      <x:c r="N786" s="2" t="n">
        <x:f>G786*J786</x:f>
        <x:v>2600</x:v>
      </x:c>
      <x:c r="O786" s="2" t="n">
        <x:f>M786-N786-K786</x:f>
        <x:v>1180</x:v>
      </x:c>
      <x:c r="P786" s="1" t="str">
        <x:f>TEXT(B786,"yyyy-mm")</x:f>
        <x:v>2025-05</x:v>
      </x:c>
    </x:row>
    <x:row r="787">
      <x:c r="A787" s="1" t="str">
        <x:v>ORD-0783</x:v>
      </x:c>
      <x:c r="B787" s="4" t="d">
        <x:v>2025-11-21T00:00:00.000Z</x:v>
      </x:c>
      <x:c r="C787" s="1" t="str">
        <x:v>C-037</x:v>
      </x:c>
      <x:c r="D787" s="1" t="str">
        <x:v>East</x:v>
      </x:c>
      <x:c r="E787" s="1" t="str">
        <x:v>Fashion</x:v>
      </x:c>
      <x:c r="F787" s="1" t="str">
        <x:v>Backpack</x:v>
      </x:c>
      <x:c r="G787" s="1" t="n">
        <x:v>4</x:v>
      </x:c>
      <x:c r="H787" s="2" t="n">
        <x:v>1300</x:v>
      </x:c>
      <x:c r="I787" s="3" t="n">
        <x:v>0.25</x:v>
      </x:c>
      <x:c r="J787" s="2" t="n">
        <x:v>650</x:v>
      </x:c>
      <x:c r="K787" s="2" t="n">
        <x:v>80</x:v>
      </x:c>
      <x:c r="L787" s="2" t="n">
        <x:f>G787*H787</x:f>
        <x:v>5200</x:v>
      </x:c>
      <x:c r="M787" s="2" t="n">
        <x:f>ROUND(L787*(1-I787),2)</x:f>
        <x:v>3900</x:v>
      </x:c>
      <x:c r="N787" s="2" t="n">
        <x:f>G787*J787</x:f>
        <x:v>2600</x:v>
      </x:c>
      <x:c r="O787" s="2" t="n">
        <x:f>M787-N787-K787</x:f>
        <x:v>1220</x:v>
      </x:c>
      <x:c r="P787" s="1" t="str">
        <x:f>TEXT(B787,"yyyy-mm")</x:f>
        <x:v>2025-11</x:v>
      </x:c>
    </x:row>
    <x:row r="788">
      <x:c r="A788" s="1" t="str">
        <x:v>ORD-0784</x:v>
      </x:c>
      <x:c r="B788" s="4" t="d">
        <x:v>2025-09-08T00:00:00.000Z</x:v>
      </x:c>
      <x:c r="C788" s="1" t="str">
        <x:v>C-281</x:v>
      </x:c>
      <x:c r="D788" s="1" t="str">
        <x:v>South</x:v>
      </x:c>
      <x:c r="E788" s="1" t="str">
        <x:v>Fashion</x:v>
      </x:c>
      <x:c r="F788" s="1" t="str">
        <x:v>T-shirt</x:v>
      </x:c>
      <x:c r="G788" s="1" t="n">
        <x:v>4</x:v>
      </x:c>
      <x:c r="H788" s="2" t="n">
        <x:v>700</x:v>
      </x:c>
      <x:c r="I788" s="3" t="n">
        <x:v>0.25</x:v>
      </x:c>
      <x:c r="J788" s="2" t="n">
        <x:v>300</x:v>
      </x:c>
      <x:c r="K788" s="2" t="n">
        <x:v>80</x:v>
      </x:c>
      <x:c r="L788" s="2" t="n">
        <x:f>G788*H788</x:f>
        <x:v>2800</x:v>
      </x:c>
      <x:c r="M788" s="2" t="n">
        <x:f>ROUND(L788*(1-I788),2)</x:f>
        <x:v>2100</x:v>
      </x:c>
      <x:c r="N788" s="2" t="n">
        <x:f>G788*J788</x:f>
        <x:v>1200</x:v>
      </x:c>
      <x:c r="O788" s="2" t="n">
        <x:f>M788-N788-K788</x:f>
        <x:v>820</x:v>
      </x:c>
      <x:c r="P788" s="1" t="str">
        <x:f>TEXT(B788,"yyyy-mm")</x:f>
        <x:v>2025-09</x:v>
      </x:c>
    </x:row>
    <x:row r="789">
      <x:c r="A789" s="1" t="str">
        <x:v>ORD-0785</x:v>
      </x:c>
      <x:c r="B789" s="4" t="d">
        <x:v>2025-02-19T00:00:00.000Z</x:v>
      </x:c>
      <x:c r="C789" s="1" t="str">
        <x:v>C-221</x:v>
      </x:c>
      <x:c r="D789" s="1" t="str">
        <x:v>West</x:v>
      </x:c>
      <x:c r="E789" s="1" t="str">
        <x:v>Fashion</x:v>
      </x:c>
      <x:c r="F789" s="1" t="str">
        <x:v>T-shirt</x:v>
      </x:c>
      <x:c r="G789" s="1" t="n">
        <x:v>3</x:v>
      </x:c>
      <x:c r="H789" s="2" t="n">
        <x:v>700</x:v>
      </x:c>
      <x:c r="I789" s="3" t="n">
        <x:v>0.35</x:v>
      </x:c>
      <x:c r="J789" s="2" t="n">
        <x:v>300</x:v>
      </x:c>
      <x:c r="K789" s="2" t="n">
        <x:v>120</x:v>
      </x:c>
      <x:c r="L789" s="2" t="n">
        <x:f>G789*H789</x:f>
        <x:v>2100</x:v>
      </x:c>
      <x:c r="M789" s="2" t="n">
        <x:f>ROUND(L789*(1-I789),2)</x:f>
        <x:v>1365</x:v>
      </x:c>
      <x:c r="N789" s="2" t="n">
        <x:f>G789*J789</x:f>
        <x:v>900</x:v>
      </x:c>
      <x:c r="O789" s="2" t="n">
        <x:f>M789-N789-K789</x:f>
        <x:v>345</x:v>
      </x:c>
      <x:c r="P789" s="1" t="str">
        <x:f>TEXT(B789,"yyyy-mm")</x:f>
        <x:v>2025-02</x:v>
      </x:c>
    </x:row>
    <x:row r="790">
      <x:c r="A790" s="1" t="str">
        <x:v>ORD-0786</x:v>
      </x:c>
      <x:c r="B790" s="4" t="d">
        <x:v>2025-10-22T00:00:00.000Z</x:v>
      </x:c>
      <x:c r="C790" s="1" t="str">
        <x:v>C-040</x:v>
      </x:c>
      <x:c r="D790" s="1" t="str">
        <x:v>West</x:v>
      </x:c>
      <x:c r="E790" s="1" t="str">
        <x:v>Electronics</x:v>
      </x:c>
      <x:c r="F790" s="1" t="str">
        <x:v>Smartwatch</x:v>
      </x:c>
      <x:c r="G790" s="1" t="n">
        <x:v>1</x:v>
      </x:c>
      <x:c r="H790" s="2" t="n">
        <x:v>4200</x:v>
      </x:c>
      <x:c r="I790" s="3" t="n">
        <x:v>0.35</x:v>
      </x:c>
      <x:c r="J790" s="2" t="n">
        <x:v>3000</x:v>
      </x:c>
      <x:c r="K790" s="2" t="n">
        <x:v>120</x:v>
      </x:c>
      <x:c r="L790" s="2" t="n">
        <x:f>G790*H790</x:f>
        <x:v>4200</x:v>
      </x:c>
      <x:c r="M790" s="2" t="n">
        <x:f>ROUND(L790*(1-I790),2)</x:f>
        <x:v>2730</x:v>
      </x:c>
      <x:c r="N790" s="2" t="n">
        <x:f>G790*J790</x:f>
        <x:v>3000</x:v>
      </x:c>
      <x:c r="O790" s="2" t="n">
        <x:f>M790-N790-K790</x:f>
        <x:v>-390</x:v>
      </x:c>
      <x:c r="P790" s="1" t="str">
        <x:f>TEXT(B790,"yyyy-mm")</x:f>
        <x:v>2025-10</x:v>
      </x:c>
    </x:row>
    <x:row r="791">
      <x:c r="A791" s="1" t="str">
        <x:v>ORD-0787</x:v>
      </x:c>
      <x:c r="B791" s="4" t="d">
        <x:v>2025-09-04T00:00:00.000Z</x:v>
      </x:c>
      <x:c r="C791" s="1" t="str">
        <x:v>C-228</x:v>
      </x:c>
      <x:c r="D791" s="1" t="str">
        <x:v>South</x:v>
      </x:c>
      <x:c r="E791" s="1" t="str">
        <x:v>Fashion</x:v>
      </x:c>
      <x:c r="F791" s="1" t="str">
        <x:v>Backpack</x:v>
      </x:c>
      <x:c r="G791" s="1" t="n">
        <x:v>3</x:v>
      </x:c>
      <x:c r="H791" s="2" t="n">
        <x:v>1300</x:v>
      </x:c>
      <x:c r="I791" s="3" t="n">
        <x:v>0.25</x:v>
      </x:c>
      <x:c r="J791" s="2" t="n">
        <x:v>650</x:v>
      </x:c>
      <x:c r="K791" s="2" t="n">
        <x:v>80</x:v>
      </x:c>
      <x:c r="L791" s="2" t="n">
        <x:f>G791*H791</x:f>
        <x:v>3900</x:v>
      </x:c>
      <x:c r="M791" s="2" t="n">
        <x:f>ROUND(L791*(1-I791),2)</x:f>
        <x:v>2925</x:v>
      </x:c>
      <x:c r="N791" s="2" t="n">
        <x:f>G791*J791</x:f>
        <x:v>1950</x:v>
      </x:c>
      <x:c r="O791" s="2" t="n">
        <x:f>M791-N791-K791</x:f>
        <x:v>895</x:v>
      </x:c>
      <x:c r="P791" s="1" t="str">
        <x:f>TEXT(B791,"yyyy-mm")</x:f>
        <x:v>2025-09</x:v>
      </x:c>
    </x:row>
    <x:row r="792">
      <x:c r="A792" s="1" t="str">
        <x:v>ORD-0788</x:v>
      </x:c>
      <x:c r="B792" s="4" t="d">
        <x:v>2025-02-27T00:00:00.000Z</x:v>
      </x:c>
      <x:c r="C792" s="1" t="str">
        <x:v>C-195</x:v>
      </x:c>
      <x:c r="D792" s="1" t="str">
        <x:v>East</x:v>
      </x:c>
      <x:c r="E792" s="1" t="str">
        <x:v>Electronics</x:v>
      </x:c>
      <x:c r="F792" s="1" t="str">
        <x:v>Keyboard</x:v>
      </x:c>
      <x:c r="G792" s="1" t="n">
        <x:v>4</x:v>
      </x:c>
      <x:c r="H792" s="2" t="n">
        <x:v>1500</x:v>
      </x:c>
      <x:c r="I792" s="3" t="n">
        <x:v>0.35</x:v>
      </x:c>
      <x:c r="J792" s="2" t="n">
        <x:v>900</x:v>
      </x:c>
      <x:c r="K792" s="2" t="n">
        <x:v>120</x:v>
      </x:c>
      <x:c r="L792" s="2" t="n">
        <x:f>G792*H792</x:f>
        <x:v>6000</x:v>
      </x:c>
      <x:c r="M792" s="2" t="n">
        <x:f>ROUND(L792*(1-I792),2)</x:f>
        <x:v>3900</x:v>
      </x:c>
      <x:c r="N792" s="2" t="n">
        <x:f>G792*J792</x:f>
        <x:v>3600</x:v>
      </x:c>
      <x:c r="O792" s="2" t="n">
        <x:f>M792-N792-K792</x:f>
        <x:v>180</x:v>
      </x:c>
      <x:c r="P792" s="1" t="str">
        <x:f>TEXT(B792,"yyyy-mm")</x:f>
        <x:v>2025-02</x:v>
      </x:c>
    </x:row>
    <x:row r="793">
      <x:c r="A793" s="1" t="str">
        <x:v>ORD-0789</x:v>
      </x:c>
      <x:c r="B793" s="4" t="d">
        <x:v>2025-10-27T00:00:00.000Z</x:v>
      </x:c>
      <x:c r="C793" s="1" t="str">
        <x:v>C-072</x:v>
      </x:c>
      <x:c r="D793" s="1" t="str">
        <x:v>North</x:v>
      </x:c>
      <x:c r="E793" s="1" t="str">
        <x:v>Electronics</x:v>
      </x:c>
      <x:c r="F793" s="1" t="str">
        <x:v>Keyboard</x:v>
      </x:c>
      <x:c r="G793" s="1" t="n">
        <x:v>2</x:v>
      </x:c>
      <x:c r="H793" s="2" t="n">
        <x:v>1500</x:v>
      </x:c>
      <x:c r="I793" s="3" t="n">
        <x:v>0.05</x:v>
      </x:c>
      <x:c r="J793" s="2" t="n">
        <x:v>900</x:v>
      </x:c>
      <x:c r="K793" s="2" t="n">
        <x:v>120</x:v>
      </x:c>
      <x:c r="L793" s="2" t="n">
        <x:f>G793*H793</x:f>
        <x:v>3000</x:v>
      </x:c>
      <x:c r="M793" s="2" t="n">
        <x:f>ROUND(L793*(1-I793),2)</x:f>
        <x:v>2850</x:v>
      </x:c>
      <x:c r="N793" s="2" t="n">
        <x:f>G793*J793</x:f>
        <x:v>1800</x:v>
      </x:c>
      <x:c r="O793" s="2" t="n">
        <x:f>M793-N793-K793</x:f>
        <x:v>930</x:v>
      </x:c>
      <x:c r="P793" s="1" t="str">
        <x:f>TEXT(B793,"yyyy-mm")</x:f>
        <x:v>2025-10</x:v>
      </x:c>
    </x:row>
    <x:row r="794">
      <x:c r="A794" s="1" t="str">
        <x:v>ORD-0790</x:v>
      </x:c>
      <x:c r="B794" s="4" t="d">
        <x:v>2025-03-13T00:00:00.000Z</x:v>
      </x:c>
      <x:c r="C794" s="1" t="str">
        <x:v>C-296</x:v>
      </x:c>
      <x:c r="D794" s="1" t="str">
        <x:v>West</x:v>
      </x:c>
      <x:c r="E794" s="1" t="str">
        <x:v>Home</x:v>
      </x:c>
      <x:c r="F794" s="1" t="str">
        <x:v>Storage box</x:v>
      </x:c>
      <x:c r="G794" s="1" t="n">
        <x:v>2</x:v>
      </x:c>
      <x:c r="H794" s="2" t="n">
        <x:v>800</x:v>
      </x:c>
      <x:c r="I794" s="3" t="n">
        <x:v>0.1</x:v>
      </x:c>
      <x:c r="J794" s="2" t="n">
        <x:v>420</x:v>
      </x:c>
      <x:c r="K794" s="2" t="n">
        <x:v>50</x:v>
      </x:c>
      <x:c r="L794" s="2" t="n">
        <x:f>G794*H794</x:f>
        <x:v>1600</x:v>
      </x:c>
      <x:c r="M794" s="2" t="n">
        <x:f>ROUND(L794*(1-I794),2)</x:f>
        <x:v>1440</x:v>
      </x:c>
      <x:c r="N794" s="2" t="n">
        <x:f>G794*J794</x:f>
        <x:v>840</x:v>
      </x:c>
      <x:c r="O794" s="2" t="n">
        <x:f>M794-N794-K794</x:f>
        <x:v>550</x:v>
      </x:c>
      <x:c r="P794" s="1" t="str">
        <x:f>TEXT(B794,"yyyy-mm")</x:f>
        <x:v>2025-03</x:v>
      </x:c>
    </x:row>
    <x:row r="795">
      <x:c r="A795" s="1" t="str">
        <x:v>ORD-0791</x:v>
      </x:c>
      <x:c r="B795" s="4" t="d">
        <x:v>2025-10-19T00:00:00.000Z</x:v>
      </x:c>
      <x:c r="C795" s="1" t="str">
        <x:v>C-156</x:v>
      </x:c>
      <x:c r="D795" s="1" t="str">
        <x:v>West</x:v>
      </x:c>
      <x:c r="E795" s="1" t="str">
        <x:v>Fashion</x:v>
      </x:c>
      <x:c r="F795" s="1" t="str">
        <x:v>Backpack</x:v>
      </x:c>
      <x:c r="G795" s="1" t="n">
        <x:v>3</x:v>
      </x:c>
      <x:c r="H795" s="2" t="n">
        <x:v>1300</x:v>
      </x:c>
      <x:c r="I795" s="3" t="n">
        <x:v>0.1</x:v>
      </x:c>
      <x:c r="J795" s="2" t="n">
        <x:v>650</x:v>
      </x:c>
      <x:c r="K795" s="2" t="n">
        <x:v>50</x:v>
      </x:c>
      <x:c r="L795" s="2" t="n">
        <x:f>G795*H795</x:f>
        <x:v>3900</x:v>
      </x:c>
      <x:c r="M795" s="2" t="n">
        <x:f>ROUND(L795*(1-I795),2)</x:f>
        <x:v>3510</x:v>
      </x:c>
      <x:c r="N795" s="2" t="n">
        <x:f>G795*J795</x:f>
        <x:v>1950</x:v>
      </x:c>
      <x:c r="O795" s="2" t="n">
        <x:f>M795-N795-K795</x:f>
        <x:v>1510</x:v>
      </x:c>
      <x:c r="P795" s="1" t="str">
        <x:f>TEXT(B795,"yyyy-mm")</x:f>
        <x:v>2025-10</x:v>
      </x:c>
    </x:row>
    <x:row r="796">
      <x:c r="A796" s="1" t="str">
        <x:v>ORD-0792</x:v>
      </x:c>
      <x:c r="B796" s="4" t="d">
        <x:v>2025-09-28T00:00:00.000Z</x:v>
      </x:c>
      <x:c r="C796" s="1" t="str">
        <x:v>C-066</x:v>
      </x:c>
      <x:c r="D796" s="1" t="str">
        <x:v>East</x:v>
      </x:c>
      <x:c r="E796" s="1" t="str">
        <x:v>Home</x:v>
      </x:c>
      <x:c r="F796" s="1" t="str">
        <x:v>Storage box</x:v>
      </x:c>
      <x:c r="G796" s="1" t="n">
        <x:v>1</x:v>
      </x:c>
      <x:c r="H796" s="2" t="n">
        <x:v>800</x:v>
      </x:c>
      <x:c r="I796" s="3" t="n">
        <x:v>0.15</x:v>
      </x:c>
      <x:c r="J796" s="2" t="n">
        <x:v>420</x:v>
      </x:c>
      <x:c r="K796" s="2" t="n">
        <x:v>80</x:v>
      </x:c>
      <x:c r="L796" s="2" t="n">
        <x:f>G796*H796</x:f>
        <x:v>800</x:v>
      </x:c>
      <x:c r="M796" s="2" t="n">
        <x:f>ROUND(L796*(1-I796),2)</x:f>
        <x:v>680</x:v>
      </x:c>
      <x:c r="N796" s="2" t="n">
        <x:f>G796*J796</x:f>
        <x:v>420</x:v>
      </x:c>
      <x:c r="O796" s="2" t="n">
        <x:f>M796-N796-K796</x:f>
        <x:v>180</x:v>
      </x:c>
      <x:c r="P796" s="1" t="str">
        <x:f>TEXT(B796,"yyyy-mm")</x:f>
        <x:v>2025-09</x:v>
      </x:c>
    </x:row>
    <x:row r="797">
      <x:c r="A797" s="1" t="str">
        <x:v>ORD-0793</x:v>
      </x:c>
      <x:c r="B797" s="4" t="d">
        <x:v>2025-12-23T00:00:00.000Z</x:v>
      </x:c>
      <x:c r="C797" s="1" t="str">
        <x:v>C-287</x:v>
      </x:c>
      <x:c r="D797" s="1" t="str">
        <x:v>East</x:v>
      </x:c>
      <x:c r="E797" s="1" t="str">
        <x:v>Electronics</x:v>
      </x:c>
      <x:c r="F797" s="1" t="str">
        <x:v>Headphones</x:v>
      </x:c>
      <x:c r="G797" s="1" t="n">
        <x:v>1</x:v>
      </x:c>
      <x:c r="H797" s="2" t="n">
        <x:v>2200</x:v>
      </x:c>
      <x:c r="I797" s="3" t="n">
        <x:v>0</x:v>
      </x:c>
      <x:c r="J797" s="2" t="n">
        <x:v>1450</x:v>
      </x:c>
      <x:c r="K797" s="2" t="n">
        <x:v>80</x:v>
      </x:c>
      <x:c r="L797" s="2" t="n">
        <x:f>G797*H797</x:f>
        <x:v>2200</x:v>
      </x:c>
      <x:c r="M797" s="2" t="n">
        <x:f>ROUND(L797*(1-I797),2)</x:f>
        <x:v>2200</x:v>
      </x:c>
      <x:c r="N797" s="2" t="n">
        <x:f>G797*J797</x:f>
        <x:v>1450</x:v>
      </x:c>
      <x:c r="O797" s="2" t="n">
        <x:f>M797-N797-K797</x:f>
        <x:v>670</x:v>
      </x:c>
      <x:c r="P797" s="1" t="str">
        <x:f>TEXT(B797,"yyyy-mm")</x:f>
        <x:v>2025-12</x:v>
      </x:c>
    </x:row>
    <x:row r="798">
      <x:c r="A798" s="1" t="str">
        <x:v>ORD-0794</x:v>
      </x:c>
      <x:c r="B798" s="4" t="d">
        <x:v>2025-11-23T00:00:00.000Z</x:v>
      </x:c>
      <x:c r="C798" s="1" t="str">
        <x:v>C-202</x:v>
      </x:c>
      <x:c r="D798" s="1" t="str">
        <x:v>East</x:v>
      </x:c>
      <x:c r="E798" s="1" t="str">
        <x:v>Fashion</x:v>
      </x:c>
      <x:c r="F798" s="1" t="str">
        <x:v>T-shirt</x:v>
      </x:c>
      <x:c r="G798" s="1" t="n">
        <x:v>4</x:v>
      </x:c>
      <x:c r="H798" s="2" t="n">
        <x:v>700</x:v>
      </x:c>
      <x:c r="I798" s="3" t="n">
        <x:v>0.15</x:v>
      </x:c>
      <x:c r="J798" s="2" t="n">
        <x:v>300</x:v>
      </x:c>
      <x:c r="K798" s="2" t="n">
        <x:v>80</x:v>
      </x:c>
      <x:c r="L798" s="2" t="n">
        <x:f>G798*H798</x:f>
        <x:v>2800</x:v>
      </x:c>
      <x:c r="M798" s="2" t="n">
        <x:f>ROUND(L798*(1-I798),2)</x:f>
        <x:v>2380</x:v>
      </x:c>
      <x:c r="N798" s="2" t="n">
        <x:f>G798*J798</x:f>
        <x:v>1200</x:v>
      </x:c>
      <x:c r="O798" s="2" t="n">
        <x:f>M798-N798-K798</x:f>
        <x:v>1100</x:v>
      </x:c>
      <x:c r="P798" s="1" t="str">
        <x:f>TEXT(B798,"yyyy-mm")</x:f>
        <x:v>2025-11</x:v>
      </x:c>
    </x:row>
    <x:row r="799">
      <x:c r="A799" s="1" t="str">
        <x:v>ORD-0795</x:v>
      </x:c>
      <x:c r="B799" s="4" t="d">
        <x:v>2025-06-22T00:00:00.000Z</x:v>
      </x:c>
      <x:c r="C799" s="1" t="str">
        <x:v>C-089</x:v>
      </x:c>
      <x:c r="D799" s="1" t="str">
        <x:v>West</x:v>
      </x:c>
      <x:c r="E799" s="1" t="str">
        <x:v>Home</x:v>
      </x:c>
      <x:c r="F799" s="1" t="str">
        <x:v>Storage box</x:v>
      </x:c>
      <x:c r="G799" s="1" t="n">
        <x:v>2</x:v>
      </x:c>
      <x:c r="H799" s="2" t="n">
        <x:v>800</x:v>
      </x:c>
      <x:c r="I799" s="3" t="n">
        <x:v>0.05</x:v>
      </x:c>
      <x:c r="J799" s="2" t="n">
        <x:v>420</x:v>
      </x:c>
      <x:c r="K799" s="2" t="n">
        <x:v>50</x:v>
      </x:c>
      <x:c r="L799" s="2" t="n">
        <x:f>G799*H799</x:f>
        <x:v>1600</x:v>
      </x:c>
      <x:c r="M799" s="2" t="n">
        <x:f>ROUND(L799*(1-I799),2)</x:f>
        <x:v>1520</x:v>
      </x:c>
      <x:c r="N799" s="2" t="n">
        <x:f>G799*J799</x:f>
        <x:v>840</x:v>
      </x:c>
      <x:c r="O799" s="2" t="n">
        <x:f>M799-N799-K799</x:f>
        <x:v>630</x:v>
      </x:c>
      <x:c r="P799" s="1" t="str">
        <x:f>TEXT(B799,"yyyy-mm")</x:f>
        <x:v>2025-06</x:v>
      </x:c>
    </x:row>
    <x:row r="800">
      <x:c r="A800" s="1" t="str">
        <x:v>ORD-0796</x:v>
      </x:c>
      <x:c r="B800" s="4" t="d">
        <x:v>2025-08-05T00:00:00.000Z</x:v>
      </x:c>
      <x:c r="C800" s="1" t="str">
        <x:v>C-148</x:v>
      </x:c>
      <x:c r="D800" s="1" t="str">
        <x:v>South</x:v>
      </x:c>
      <x:c r="E800" s="1" t="str">
        <x:v>Fashion</x:v>
      </x:c>
      <x:c r="F800" s="1" t="str">
        <x:v>Backpack</x:v>
      </x:c>
      <x:c r="G800" s="1" t="n">
        <x:v>2</x:v>
      </x:c>
      <x:c r="H800" s="2" t="n">
        <x:v>1300</x:v>
      </x:c>
      <x:c r="I800" s="3" t="n">
        <x:v>0.15</x:v>
      </x:c>
      <x:c r="J800" s="2" t="n">
        <x:v>650</x:v>
      </x:c>
      <x:c r="K800" s="2" t="n">
        <x:v>50</x:v>
      </x:c>
      <x:c r="L800" s="2" t="n">
        <x:f>G800*H800</x:f>
        <x:v>2600</x:v>
      </x:c>
      <x:c r="M800" s="2" t="n">
        <x:f>ROUND(L800*(1-I800),2)</x:f>
        <x:v>2210</x:v>
      </x:c>
      <x:c r="N800" s="2" t="n">
        <x:f>G800*J800</x:f>
        <x:v>1300</x:v>
      </x:c>
      <x:c r="O800" s="2" t="n">
        <x:f>M800-N800-K800</x:f>
        <x:v>860</x:v>
      </x:c>
      <x:c r="P800" s="1" t="str">
        <x:f>TEXT(B800,"yyyy-mm")</x:f>
        <x:v>2025-08</x:v>
      </x:c>
    </x:row>
    <x:row r="801">
      <x:c r="A801" s="1" t="str">
        <x:v>ORD-0797</x:v>
      </x:c>
      <x:c r="B801" s="4" t="d">
        <x:v>2025-02-24T00:00:00.000Z</x:v>
      </x:c>
      <x:c r="C801" s="1" t="str">
        <x:v>C-250</x:v>
      </x:c>
      <x:c r="D801" s="1" t="str">
        <x:v>West</x:v>
      </x:c>
      <x:c r="E801" s="1" t="str">
        <x:v>Electronics</x:v>
      </x:c>
      <x:c r="F801" s="1" t="str">
        <x:v>Headphones</x:v>
      </x:c>
      <x:c r="G801" s="1" t="n">
        <x:v>2</x:v>
      </x:c>
      <x:c r="H801" s="2" t="n">
        <x:v>2200</x:v>
      </x:c>
      <x:c r="I801" s="3" t="n">
        <x:v>0.05</x:v>
      </x:c>
      <x:c r="J801" s="2" t="n">
        <x:v>1450</x:v>
      </x:c>
      <x:c r="K801" s="2" t="n">
        <x:v>50</x:v>
      </x:c>
      <x:c r="L801" s="2" t="n">
        <x:f>G801*H801</x:f>
        <x:v>4400</x:v>
      </x:c>
      <x:c r="M801" s="2" t="n">
        <x:f>ROUND(L801*(1-I801),2)</x:f>
        <x:v>4180</x:v>
      </x:c>
      <x:c r="N801" s="2" t="n">
        <x:f>G801*J801</x:f>
        <x:v>2900</x:v>
      </x:c>
      <x:c r="O801" s="2" t="n">
        <x:f>M801-N801-K801</x:f>
        <x:v>1230</x:v>
      </x:c>
      <x:c r="P801" s="1" t="str">
        <x:f>TEXT(B801,"yyyy-mm")</x:f>
        <x:v>2025-02</x:v>
      </x:c>
    </x:row>
    <x:row r="802">
      <x:c r="A802" s="1" t="str">
        <x:v>ORD-0798</x:v>
      </x:c>
      <x:c r="B802" s="4" t="d">
        <x:v>2025-03-29T00:00:00.000Z</x:v>
      </x:c>
      <x:c r="C802" s="1" t="str">
        <x:v>C-218</x:v>
      </x:c>
      <x:c r="D802" s="1" t="str">
        <x:v>South</x:v>
      </x:c>
      <x:c r="E802" s="1" t="str">
        <x:v>Home</x:v>
      </x:c>
      <x:c r="F802" s="1" t="str">
        <x:v>Office chair</x:v>
      </x:c>
      <x:c r="G802" s="1" t="n">
        <x:v>4</x:v>
      </x:c>
      <x:c r="H802" s="2" t="n">
        <x:v>5500</x:v>
      </x:c>
      <x:c r="I802" s="3" t="n">
        <x:v>0.15</x:v>
      </x:c>
      <x:c r="J802" s="2" t="n">
        <x:v>4400</x:v>
      </x:c>
      <x:c r="K802" s="2" t="n">
        <x:v>120</x:v>
      </x:c>
      <x:c r="L802" s="2" t="n">
        <x:f>G802*H802</x:f>
        <x:v>22000</x:v>
      </x:c>
      <x:c r="M802" s="2" t="n">
        <x:f>ROUND(L802*(1-I802),2)</x:f>
        <x:v>18700</x:v>
      </x:c>
      <x:c r="N802" s="2" t="n">
        <x:f>G802*J802</x:f>
        <x:v>17600</x:v>
      </x:c>
      <x:c r="O802" s="2" t="n">
        <x:f>M802-N802-K802</x:f>
        <x:v>980</x:v>
      </x:c>
      <x:c r="P802" s="1" t="str">
        <x:f>TEXT(B802,"yyyy-mm")</x:f>
        <x:v>2025-03</x:v>
      </x:c>
    </x:row>
    <x:row r="803">
      <x:c r="A803" s="1" t="str">
        <x:v>ORD-0799</x:v>
      </x:c>
      <x:c r="B803" s="4" t="d">
        <x:v>2025-07-12T00:00:00.000Z</x:v>
      </x:c>
      <x:c r="C803" s="1" t="str">
        <x:v>C-116</x:v>
      </x:c>
      <x:c r="D803" s="1" t="str">
        <x:v>South</x:v>
      </x:c>
      <x:c r="E803" s="1" t="str">
        <x:v>Home</x:v>
      </x:c>
      <x:c r="F803" s="1" t="str">
        <x:v>Desk lamp</x:v>
      </x:c>
      <x:c r="G803" s="1" t="n">
        <x:v>4</x:v>
      </x:c>
      <x:c r="H803" s="2" t="n">
        <x:v>1100</x:v>
      </x:c>
      <x:c r="I803" s="3" t="n">
        <x:v>0.15</x:v>
      </x:c>
      <x:c r="J803" s="2" t="n">
        <x:v>650</x:v>
      </x:c>
      <x:c r="K803" s="2" t="n">
        <x:v>120</x:v>
      </x:c>
      <x:c r="L803" s="2" t="n">
        <x:f>G803*H803</x:f>
        <x:v>4400</x:v>
      </x:c>
      <x:c r="M803" s="2" t="n">
        <x:f>ROUND(L803*(1-I803),2)</x:f>
        <x:v>3740</x:v>
      </x:c>
      <x:c r="N803" s="2" t="n">
        <x:f>G803*J803</x:f>
        <x:v>2600</x:v>
      </x:c>
      <x:c r="O803" s="2" t="n">
        <x:f>M803-N803-K803</x:f>
        <x:v>1020</x:v>
      </x:c>
      <x:c r="P803" s="1" t="str">
        <x:f>TEXT(B803,"yyyy-mm")</x:f>
        <x:v>2025-07</x:v>
      </x:c>
    </x:row>
    <x:row r="804">
      <x:c r="A804" s="1" t="str">
        <x:v>ORD-0800</x:v>
      </x:c>
      <x:c r="B804" s="4" t="d">
        <x:v>2025-01-08T00:00:00.000Z</x:v>
      </x:c>
      <x:c r="C804" s="1" t="str">
        <x:v>C-257</x:v>
      </x:c>
      <x:c r="D804" s="1" t="str">
        <x:v>East</x:v>
      </x:c>
      <x:c r="E804" s="1" t="str">
        <x:v>Home</x:v>
      </x:c>
      <x:c r="F804" s="1" t="str">
        <x:v>Desk lamp</x:v>
      </x:c>
      <x:c r="G804" s="1" t="n">
        <x:v>4</x:v>
      </x:c>
      <x:c r="H804" s="2" t="n">
        <x:v>1100</x:v>
      </x:c>
      <x:c r="I804" s="3" t="n">
        <x:v>0.35</x:v>
      </x:c>
      <x:c r="J804" s="2" t="n">
        <x:v>650</x:v>
      </x:c>
      <x:c r="K804" s="2" t="n">
        <x:v>120</x:v>
      </x:c>
      <x:c r="L804" s="2" t="n">
        <x:f>G804*H804</x:f>
        <x:v>4400</x:v>
      </x:c>
      <x:c r="M804" s="2" t="n">
        <x:f>ROUND(L804*(1-I804),2)</x:f>
        <x:v>2860</x:v>
      </x:c>
      <x:c r="N804" s="2" t="n">
        <x:f>G804*J804</x:f>
        <x:v>2600</x:v>
      </x:c>
      <x:c r="O804" s="2" t="n">
        <x:f>M804-N804-K804</x:f>
        <x:v>140</x:v>
      </x:c>
      <x:c r="P804" s="1" t="str">
        <x:f>TEXT(B804,"yyyy-mm")</x:f>
        <x:v>2025-01</x:v>
      </x:c>
    </x:row>
    <x:row r="805">
      <x:c r="A805" s="1" t="str">
        <x:v>ORD-0801</x:v>
      </x:c>
      <x:c r="B805" s="4" t="d">
        <x:v>2025-09-19T00:00:00.000Z</x:v>
      </x:c>
      <x:c r="C805" s="1" t="str">
        <x:v>C-248</x:v>
      </x:c>
      <x:c r="D805" s="1" t="str">
        <x:v>East</x:v>
      </x:c>
      <x:c r="E805" s="1" t="str">
        <x:v>Electronics</x:v>
      </x:c>
      <x:c r="F805" s="1" t="str">
        <x:v>Headphones</x:v>
      </x:c>
      <x:c r="G805" s="1" t="n">
        <x:v>1</x:v>
      </x:c>
      <x:c r="H805" s="2" t="n">
        <x:v>2200</x:v>
      </x:c>
      <x:c r="I805" s="3" t="n">
        <x:v>0</x:v>
      </x:c>
      <x:c r="J805" s="2" t="n">
        <x:v>1450</x:v>
      </x:c>
      <x:c r="K805" s="2" t="n">
        <x:v>120</x:v>
      </x:c>
      <x:c r="L805" s="2" t="n">
        <x:f>G805*H805</x:f>
        <x:v>2200</x:v>
      </x:c>
      <x:c r="M805" s="2" t="n">
        <x:f>ROUND(L805*(1-I805),2)</x:f>
        <x:v>2200</x:v>
      </x:c>
      <x:c r="N805" s="2" t="n">
        <x:f>G805*J805</x:f>
        <x:v>1450</x:v>
      </x:c>
      <x:c r="O805" s="2" t="n">
        <x:f>M805-N805-K805</x:f>
        <x:v>630</x:v>
      </x:c>
      <x:c r="P805" s="1" t="str">
        <x:f>TEXT(B805,"yyyy-mm")</x:f>
        <x:v>2025-09</x:v>
      </x:c>
    </x:row>
    <x:row r="806">
      <x:c r="A806" s="1" t="str">
        <x:v>ORD-0802</x:v>
      </x:c>
      <x:c r="B806" s="4" t="d">
        <x:v>2025-07-24T00:00:00.000Z</x:v>
      </x:c>
      <x:c r="C806" s="1" t="str">
        <x:v>C-270</x:v>
      </x:c>
      <x:c r="D806" s="1" t="str">
        <x:v>East</x:v>
      </x:c>
      <x:c r="E806" s="1" t="str">
        <x:v>Electronics</x:v>
      </x:c>
      <x:c r="F806" s="1" t="str">
        <x:v>Keyboard</x:v>
      </x:c>
      <x:c r="G806" s="1" t="n">
        <x:v>4</x:v>
      </x:c>
      <x:c r="H806" s="2" t="n">
        <x:v>1500</x:v>
      </x:c>
      <x:c r="I806" s="3" t="n">
        <x:v>0.05</x:v>
      </x:c>
      <x:c r="J806" s="2" t="n">
        <x:v>900</x:v>
      </x:c>
      <x:c r="K806" s="2" t="n">
        <x:v>120</x:v>
      </x:c>
      <x:c r="L806" s="2" t="n">
        <x:f>G806*H806</x:f>
        <x:v>6000</x:v>
      </x:c>
      <x:c r="M806" s="2" t="n">
        <x:f>ROUND(L806*(1-I806),2)</x:f>
        <x:v>5700</x:v>
      </x:c>
      <x:c r="N806" s="2" t="n">
        <x:f>G806*J806</x:f>
        <x:v>3600</x:v>
      </x:c>
      <x:c r="O806" s="2" t="n">
        <x:f>M806-N806-K806</x:f>
        <x:v>1980</x:v>
      </x:c>
      <x:c r="P806" s="1" t="str">
        <x:f>TEXT(B806,"yyyy-mm")</x:f>
        <x:v>2025-07</x:v>
      </x:c>
    </x:row>
    <x:row r="807">
      <x:c r="A807" s="1" t="str">
        <x:v>ORD-0803</x:v>
      </x:c>
      <x:c r="B807" s="4" t="d">
        <x:v>2025-02-16T00:00:00.000Z</x:v>
      </x:c>
      <x:c r="C807" s="1" t="str">
        <x:v>C-040</x:v>
      </x:c>
      <x:c r="D807" s="1" t="str">
        <x:v>East</x:v>
      </x:c>
      <x:c r="E807" s="1" t="str">
        <x:v>Electronics</x:v>
      </x:c>
      <x:c r="F807" s="1" t="str">
        <x:v>Keyboard</x:v>
      </x:c>
      <x:c r="G807" s="1" t="n">
        <x:v>1</x:v>
      </x:c>
      <x:c r="H807" s="2" t="n">
        <x:v>1500</x:v>
      </x:c>
      <x:c r="I807" s="3" t="n">
        <x:v>0.05</x:v>
      </x:c>
      <x:c r="J807" s="2" t="n">
        <x:v>900</x:v>
      </x:c>
      <x:c r="K807" s="2" t="n">
        <x:v>80</x:v>
      </x:c>
      <x:c r="L807" s="2" t="n">
        <x:f>G807*H807</x:f>
        <x:v>1500</x:v>
      </x:c>
      <x:c r="M807" s="2" t="n">
        <x:f>ROUND(L807*(1-I807),2)</x:f>
        <x:v>1425</x:v>
      </x:c>
      <x:c r="N807" s="2" t="n">
        <x:f>G807*J807</x:f>
        <x:v>900</x:v>
      </x:c>
      <x:c r="O807" s="2" t="n">
        <x:f>M807-N807-K807</x:f>
        <x:v>445</x:v>
      </x:c>
      <x:c r="P807" s="1" t="str">
        <x:f>TEXT(B807,"yyyy-mm")</x:f>
        <x:v>2025-02</x:v>
      </x:c>
    </x:row>
    <x:row r="808">
      <x:c r="A808" s="1" t="str">
        <x:v>ORD-0804</x:v>
      </x:c>
      <x:c r="B808" s="4" t="d">
        <x:v>2025-08-15T00:00:00.000Z</x:v>
      </x:c>
      <x:c r="C808" s="1" t="str">
        <x:v>C-263</x:v>
      </x:c>
      <x:c r="D808" s="1" t="str">
        <x:v>West</x:v>
      </x:c>
      <x:c r="E808" s="1" t="str">
        <x:v>Electronics</x:v>
      </x:c>
      <x:c r="F808" s="1" t="str">
        <x:v>Headphones</x:v>
      </x:c>
      <x:c r="G808" s="1" t="n">
        <x:v>3</x:v>
      </x:c>
      <x:c r="H808" s="2" t="n">
        <x:v>2200</x:v>
      </x:c>
      <x:c r="I808" s="3" t="n">
        <x:v>0.15</x:v>
      </x:c>
      <x:c r="J808" s="2" t="n">
        <x:v>1450</x:v>
      </x:c>
      <x:c r="K808" s="2" t="n">
        <x:v>80</x:v>
      </x:c>
      <x:c r="L808" s="2" t="n">
        <x:f>G808*H808</x:f>
        <x:v>6600</x:v>
      </x:c>
      <x:c r="M808" s="2" t="n">
        <x:f>ROUND(L808*(1-I808),2)</x:f>
        <x:v>5610</x:v>
      </x:c>
      <x:c r="N808" s="2" t="n">
        <x:f>G808*J808</x:f>
        <x:v>4350</x:v>
      </x:c>
      <x:c r="O808" s="2" t="n">
        <x:f>M808-N808-K808</x:f>
        <x:v>1180</x:v>
      </x:c>
      <x:c r="P808" s="1" t="str">
        <x:f>TEXT(B808,"yyyy-mm")</x:f>
        <x:v>2025-08</x:v>
      </x:c>
    </x:row>
    <x:row r="809">
      <x:c r="A809" s="1" t="str">
        <x:v>ORD-0805</x:v>
      </x:c>
      <x:c r="B809" s="4" t="d">
        <x:v>2025-06-06T00:00:00.000Z</x:v>
      </x:c>
      <x:c r="C809" s="1" t="str">
        <x:v>C-019</x:v>
      </x:c>
      <x:c r="D809" s="1" t="str">
        <x:v>East</x:v>
      </x:c>
      <x:c r="E809" s="1" t="str">
        <x:v>Fashion</x:v>
      </x:c>
      <x:c r="F809" s="1" t="str">
        <x:v>Sneakers</x:v>
      </x:c>
      <x:c r="G809" s="1" t="n">
        <x:v>3</x:v>
      </x:c>
      <x:c r="H809" s="2" t="n">
        <x:v>2400</x:v>
      </x:c>
      <x:c r="I809" s="3" t="n">
        <x:v>0.1</x:v>
      </x:c>
      <x:c r="J809" s="2" t="n">
        <x:v>1200</x:v>
      </x:c>
      <x:c r="K809" s="2" t="n">
        <x:v>50</x:v>
      </x:c>
      <x:c r="L809" s="2" t="n">
        <x:f>G809*H809</x:f>
        <x:v>7200</x:v>
      </x:c>
      <x:c r="M809" s="2" t="n">
        <x:f>ROUND(L809*(1-I809),2)</x:f>
        <x:v>6480</x:v>
      </x:c>
      <x:c r="N809" s="2" t="n">
        <x:f>G809*J809</x:f>
        <x:v>3600</x:v>
      </x:c>
      <x:c r="O809" s="2" t="n">
        <x:f>M809-N809-K809</x:f>
        <x:v>2830</x:v>
      </x:c>
      <x:c r="P809" s="1" t="str">
        <x:f>TEXT(B809,"yyyy-mm")</x:f>
        <x:v>2025-06</x:v>
      </x:c>
    </x:row>
    <x:row r="810">
      <x:c r="A810" s="1" t="str">
        <x:v>ORD-0806</x:v>
      </x:c>
      <x:c r="B810" s="4" t="d">
        <x:v>2025-09-02T00:00:00.000Z</x:v>
      </x:c>
      <x:c r="C810" s="1" t="str">
        <x:v>C-150</x:v>
      </x:c>
      <x:c r="D810" s="1" t="str">
        <x:v>North</x:v>
      </x:c>
      <x:c r="E810" s="1" t="str">
        <x:v>Electronics</x:v>
      </x:c>
      <x:c r="F810" s="1" t="str">
        <x:v>Smartwatch</x:v>
      </x:c>
      <x:c r="G810" s="1" t="n">
        <x:v>3</x:v>
      </x:c>
      <x:c r="H810" s="2" t="n">
        <x:v>4200</x:v>
      </x:c>
      <x:c r="I810" s="3" t="n">
        <x:v>0.25</x:v>
      </x:c>
      <x:c r="J810" s="2" t="n">
        <x:v>3000</x:v>
      </x:c>
      <x:c r="K810" s="2" t="n">
        <x:v>80</x:v>
      </x:c>
      <x:c r="L810" s="2" t="n">
        <x:f>G810*H810</x:f>
        <x:v>12600</x:v>
      </x:c>
      <x:c r="M810" s="2" t="n">
        <x:f>ROUND(L810*(1-I810),2)</x:f>
        <x:v>9450</x:v>
      </x:c>
      <x:c r="N810" s="2" t="n">
        <x:f>G810*J810</x:f>
        <x:v>9000</x:v>
      </x:c>
      <x:c r="O810" s="2" t="n">
        <x:f>M810-N810-K810</x:f>
        <x:v>370</x:v>
      </x:c>
      <x:c r="P810" s="1" t="str">
        <x:f>TEXT(B810,"yyyy-mm")</x:f>
        <x:v>2025-09</x:v>
      </x:c>
    </x:row>
    <x:row r="811">
      <x:c r="A811" s="1" t="str">
        <x:v>ORD-0807</x:v>
      </x:c>
      <x:c r="B811" s="4" t="d">
        <x:v>2025-02-28T00:00:00.000Z</x:v>
      </x:c>
      <x:c r="C811" s="1" t="str">
        <x:v>C-143</x:v>
      </x:c>
      <x:c r="D811" s="1" t="str">
        <x:v>East</x:v>
      </x:c>
      <x:c r="E811" s="1" t="str">
        <x:v>Home</x:v>
      </x:c>
      <x:c r="F811" s="1" t="str">
        <x:v>Storage box</x:v>
      </x:c>
      <x:c r="G811" s="1" t="n">
        <x:v>2</x:v>
      </x:c>
      <x:c r="H811" s="2" t="n">
        <x:v>800</x:v>
      </x:c>
      <x:c r="I811" s="3" t="n">
        <x:v>0</x:v>
      </x:c>
      <x:c r="J811" s="2" t="n">
        <x:v>420</x:v>
      </x:c>
      <x:c r="K811" s="2" t="n">
        <x:v>120</x:v>
      </x:c>
      <x:c r="L811" s="2" t="n">
        <x:f>G811*H811</x:f>
        <x:v>1600</x:v>
      </x:c>
      <x:c r="M811" s="2" t="n">
        <x:f>ROUND(L811*(1-I811),2)</x:f>
        <x:v>1600</x:v>
      </x:c>
      <x:c r="N811" s="2" t="n">
        <x:f>G811*J811</x:f>
        <x:v>840</x:v>
      </x:c>
      <x:c r="O811" s="2" t="n">
        <x:f>M811-N811-K811</x:f>
        <x:v>640</x:v>
      </x:c>
      <x:c r="P811" s="1" t="str">
        <x:f>TEXT(B811,"yyyy-mm")</x:f>
        <x:v>2025-02</x:v>
      </x:c>
    </x:row>
    <x:row r="812">
      <x:c r="A812" s="1" t="str">
        <x:v>ORD-0808</x:v>
      </x:c>
      <x:c r="B812" s="4" t="d">
        <x:v>2025-05-24T00:00:00.000Z</x:v>
      </x:c>
      <x:c r="C812" s="1" t="str">
        <x:v>C-058</x:v>
      </x:c>
      <x:c r="D812" s="1" t="str">
        <x:v>South</x:v>
      </x:c>
      <x:c r="E812" s="1" t="str">
        <x:v>Fashion</x:v>
      </x:c>
      <x:c r="F812" s="1" t="str">
        <x:v>Sneakers</x:v>
      </x:c>
      <x:c r="G812" s="1" t="n">
        <x:v>2</x:v>
      </x:c>
      <x:c r="H812" s="2" t="n">
        <x:v>2400</x:v>
      </x:c>
      <x:c r="I812" s="3" t="n">
        <x:v>0</x:v>
      </x:c>
      <x:c r="J812" s="2" t="n">
        <x:v>1200</x:v>
      </x:c>
      <x:c r="K812" s="2" t="n">
        <x:v>120</x:v>
      </x:c>
      <x:c r="L812" s="2" t="n">
        <x:f>G812*H812</x:f>
        <x:v>4800</x:v>
      </x:c>
      <x:c r="M812" s="2" t="n">
        <x:f>ROUND(L812*(1-I812),2)</x:f>
        <x:v>4800</x:v>
      </x:c>
      <x:c r="N812" s="2" t="n">
        <x:f>G812*J812</x:f>
        <x:v>2400</x:v>
      </x:c>
      <x:c r="O812" s="2" t="n">
        <x:f>M812-N812-K812</x:f>
        <x:v>2280</x:v>
      </x:c>
      <x:c r="P812" s="1" t="str">
        <x:f>TEXT(B812,"yyyy-mm")</x:f>
        <x:v>2025-05</x:v>
      </x:c>
    </x:row>
    <x:row r="813">
      <x:c r="A813" s="1" t="str">
        <x:v>ORD-0809</x:v>
      </x:c>
      <x:c r="B813" s="4" t="d">
        <x:v>2025-07-26T00:00:00.000Z</x:v>
      </x:c>
      <x:c r="C813" s="1" t="str">
        <x:v>C-121</x:v>
      </x:c>
      <x:c r="D813" s="1" t="str">
        <x:v>West</x:v>
      </x:c>
      <x:c r="E813" s="1" t="str">
        <x:v>Electronics</x:v>
      </x:c>
      <x:c r="F813" s="1" t="str">
        <x:v>Smartwatch</x:v>
      </x:c>
      <x:c r="G813" s="1" t="n">
        <x:v>2</x:v>
      </x:c>
      <x:c r="H813" s="2" t="n">
        <x:v>4200</x:v>
      </x:c>
      <x:c r="I813" s="3" t="n">
        <x:v>0.1</x:v>
      </x:c>
      <x:c r="J813" s="2" t="n">
        <x:v>3000</x:v>
      </x:c>
      <x:c r="K813" s="2" t="n">
        <x:v>120</x:v>
      </x:c>
      <x:c r="L813" s="2" t="n">
        <x:f>G813*H813</x:f>
        <x:v>8400</x:v>
      </x:c>
      <x:c r="M813" s="2" t="n">
        <x:f>ROUND(L813*(1-I813),2)</x:f>
        <x:v>7560</x:v>
      </x:c>
      <x:c r="N813" s="2" t="n">
        <x:f>G813*J813</x:f>
        <x:v>6000</x:v>
      </x:c>
      <x:c r="O813" s="2" t="n">
        <x:f>M813-N813-K813</x:f>
        <x:v>1440</x:v>
      </x:c>
      <x:c r="P813" s="1" t="str">
        <x:f>TEXT(B813,"yyyy-mm")</x:f>
        <x:v>2025-07</x:v>
      </x:c>
    </x:row>
    <x:row r="814">
      <x:c r="A814" s="1" t="str">
        <x:v>ORD-0810</x:v>
      </x:c>
      <x:c r="B814" s="4" t="d">
        <x:v>2025-11-05T00:00:00.000Z</x:v>
      </x:c>
      <x:c r="C814" s="1" t="str">
        <x:v>C-079</x:v>
      </x:c>
      <x:c r="D814" s="1" t="str">
        <x:v>West</x:v>
      </x:c>
      <x:c r="E814" s="1" t="str">
        <x:v>Fashion</x:v>
      </x:c>
      <x:c r="F814" s="1" t="str">
        <x:v>Backpack</x:v>
      </x:c>
      <x:c r="G814" s="1" t="n">
        <x:v>4</x:v>
      </x:c>
      <x:c r="H814" s="2" t="n">
        <x:v>1300</x:v>
      </x:c>
      <x:c r="I814" s="3" t="n">
        <x:v>0</x:v>
      </x:c>
      <x:c r="J814" s="2" t="n">
        <x:v>650</x:v>
      </x:c>
      <x:c r="K814" s="2" t="n">
        <x:v>80</x:v>
      </x:c>
      <x:c r="L814" s="2" t="n">
        <x:f>G814*H814</x:f>
        <x:v>5200</x:v>
      </x:c>
      <x:c r="M814" s="2" t="n">
        <x:f>ROUND(L814*(1-I814),2)</x:f>
        <x:v>5200</x:v>
      </x:c>
      <x:c r="N814" s="2" t="n">
        <x:f>G814*J814</x:f>
        <x:v>2600</x:v>
      </x:c>
      <x:c r="O814" s="2" t="n">
        <x:f>M814-N814-K814</x:f>
        <x:v>2520</x:v>
      </x:c>
      <x:c r="P814" s="1" t="str">
        <x:f>TEXT(B814,"yyyy-mm")</x:f>
        <x:v>2025-11</x:v>
      </x:c>
    </x:row>
    <x:row r="815">
      <x:c r="A815" s="1" t="str">
        <x:v>ORD-0811</x:v>
      </x:c>
      <x:c r="B815" s="4" t="d">
        <x:v>2025-04-21T00:00:00.000Z</x:v>
      </x:c>
      <x:c r="C815" s="1" t="str">
        <x:v>C-086</x:v>
      </x:c>
      <x:c r="D815" s="1" t="str">
        <x:v>South</x:v>
      </x:c>
      <x:c r="E815" s="1" t="str">
        <x:v>Home</x:v>
      </x:c>
      <x:c r="F815" s="1" t="str">
        <x:v>Desk lamp</x:v>
      </x:c>
      <x:c r="G815" s="1" t="n">
        <x:v>3</x:v>
      </x:c>
      <x:c r="H815" s="2" t="n">
        <x:v>1100</x:v>
      </x:c>
      <x:c r="I815" s="3" t="n">
        <x:v>0.35</x:v>
      </x:c>
      <x:c r="J815" s="2" t="n">
        <x:v>650</x:v>
      </x:c>
      <x:c r="K815" s="2" t="n">
        <x:v>50</x:v>
      </x:c>
      <x:c r="L815" s="2" t="n">
        <x:f>G815*H815</x:f>
        <x:v>3300</x:v>
      </x:c>
      <x:c r="M815" s="2" t="n">
        <x:f>ROUND(L815*(1-I815),2)</x:f>
        <x:v>2145</x:v>
      </x:c>
      <x:c r="N815" s="2" t="n">
        <x:f>G815*J815</x:f>
        <x:v>1950</x:v>
      </x:c>
      <x:c r="O815" s="2" t="n">
        <x:f>M815-N815-K815</x:f>
        <x:v>145</x:v>
      </x:c>
      <x:c r="P815" s="1" t="str">
        <x:f>TEXT(B815,"yyyy-mm")</x:f>
        <x:v>2025-04</x:v>
      </x:c>
    </x:row>
    <x:row r="816">
      <x:c r="A816" s="1" t="str">
        <x:v>ORD-0812</x:v>
      </x:c>
      <x:c r="B816" s="4" t="d">
        <x:v>2025-09-06T00:00:00.000Z</x:v>
      </x:c>
      <x:c r="C816" s="1" t="str">
        <x:v>C-238</x:v>
      </x:c>
      <x:c r="D816" s="1" t="str">
        <x:v>West</x:v>
      </x:c>
      <x:c r="E816" s="1" t="str">
        <x:v>Electronics</x:v>
      </x:c>
      <x:c r="F816" s="1" t="str">
        <x:v>Keyboard</x:v>
      </x:c>
      <x:c r="G816" s="1" t="n">
        <x:v>4</x:v>
      </x:c>
      <x:c r="H816" s="2" t="n">
        <x:v>1500</x:v>
      </x:c>
      <x:c r="I816" s="3" t="n">
        <x:v>0</x:v>
      </x:c>
      <x:c r="J816" s="2" t="n">
        <x:v>900</x:v>
      </x:c>
      <x:c r="K816" s="2" t="n">
        <x:v>80</x:v>
      </x:c>
      <x:c r="L816" s="2" t="n">
        <x:f>G816*H816</x:f>
        <x:v>6000</x:v>
      </x:c>
      <x:c r="M816" s="2" t="n">
        <x:f>ROUND(L816*(1-I816),2)</x:f>
        <x:v>6000</x:v>
      </x:c>
      <x:c r="N816" s="2" t="n">
        <x:f>G816*J816</x:f>
        <x:v>3600</x:v>
      </x:c>
      <x:c r="O816" s="2" t="n">
        <x:f>M816-N816-K816</x:f>
        <x:v>2320</x:v>
      </x:c>
      <x:c r="P816" s="1" t="str">
        <x:f>TEXT(B816,"yyyy-mm")</x:f>
        <x:v>2025-09</x:v>
      </x:c>
    </x:row>
    <x:row r="817">
      <x:c r="A817" s="1" t="str">
        <x:v>ORD-0813</x:v>
      </x:c>
      <x:c r="B817" s="4" t="d">
        <x:v>2025-07-13T00:00:00.000Z</x:v>
      </x:c>
      <x:c r="C817" s="1" t="str">
        <x:v>C-200</x:v>
      </x:c>
      <x:c r="D817" s="1" t="str">
        <x:v>West</x:v>
      </x:c>
      <x:c r="E817" s="1" t="str">
        <x:v>Home</x:v>
      </x:c>
      <x:c r="F817" s="1" t="str">
        <x:v>Storage box</x:v>
      </x:c>
      <x:c r="G817" s="1" t="n">
        <x:v>3</x:v>
      </x:c>
      <x:c r="H817" s="2" t="n">
        <x:v>800</x:v>
      </x:c>
      <x:c r="I817" s="3" t="n">
        <x:v>0.05</x:v>
      </x:c>
      <x:c r="J817" s="2" t="n">
        <x:v>420</x:v>
      </x:c>
      <x:c r="K817" s="2" t="n">
        <x:v>50</x:v>
      </x:c>
      <x:c r="L817" s="2" t="n">
        <x:f>G817*H817</x:f>
        <x:v>2400</x:v>
      </x:c>
      <x:c r="M817" s="2" t="n">
        <x:f>ROUND(L817*(1-I817),2)</x:f>
        <x:v>2280</x:v>
      </x:c>
      <x:c r="N817" s="2" t="n">
        <x:f>G817*J817</x:f>
        <x:v>1260</x:v>
      </x:c>
      <x:c r="O817" s="2" t="n">
        <x:f>M817-N817-K817</x:f>
        <x:v>970</x:v>
      </x:c>
      <x:c r="P817" s="1" t="str">
        <x:f>TEXT(B817,"yyyy-mm")</x:f>
        <x:v>2025-07</x:v>
      </x:c>
    </x:row>
    <x:row r="818">
      <x:c r="A818" s="1" t="str">
        <x:v>ORD-0814</x:v>
      </x:c>
      <x:c r="B818" s="4" t="d">
        <x:v>2025-08-10T00:00:00.000Z</x:v>
      </x:c>
      <x:c r="C818" s="1" t="str">
        <x:v>C-230</x:v>
      </x:c>
      <x:c r="D818" s="1" t="str">
        <x:v>West</x:v>
      </x:c>
      <x:c r="E818" s="1" t="str">
        <x:v>Home</x:v>
      </x:c>
      <x:c r="F818" s="1" t="str">
        <x:v>Office chair</x:v>
      </x:c>
      <x:c r="G818" s="1" t="n">
        <x:v>3</x:v>
      </x:c>
      <x:c r="H818" s="2" t="n">
        <x:v>5500</x:v>
      </x:c>
      <x:c r="I818" s="3" t="n">
        <x:v>0</x:v>
      </x:c>
      <x:c r="J818" s="2" t="n">
        <x:v>4400</x:v>
      </x:c>
      <x:c r="K818" s="2" t="n">
        <x:v>120</x:v>
      </x:c>
      <x:c r="L818" s="2" t="n">
        <x:f>G818*H818</x:f>
        <x:v>16500</x:v>
      </x:c>
      <x:c r="M818" s="2" t="n">
        <x:f>ROUND(L818*(1-I818),2)</x:f>
        <x:v>16500</x:v>
      </x:c>
      <x:c r="N818" s="2" t="n">
        <x:f>G818*J818</x:f>
        <x:v>13200</x:v>
      </x:c>
      <x:c r="O818" s="2" t="n">
        <x:f>M818-N818-K818</x:f>
        <x:v>3180</x:v>
      </x:c>
      <x:c r="P818" s="1" t="str">
        <x:f>TEXT(B818,"yyyy-mm")</x:f>
        <x:v>2025-08</x:v>
      </x:c>
    </x:row>
    <x:row r="819">
      <x:c r="A819" s="1" t="str">
        <x:v>ORD-0815</x:v>
      </x:c>
      <x:c r="B819" s="4" t="d">
        <x:v>2025-10-30T00:00:00.000Z</x:v>
      </x:c>
      <x:c r="C819" s="1" t="str">
        <x:v>C-273</x:v>
      </x:c>
      <x:c r="D819" s="1" t="str">
        <x:v>East</x:v>
      </x:c>
      <x:c r="E819" s="1" t="str">
        <x:v>Electronics</x:v>
      </x:c>
      <x:c r="F819" s="1" t="str">
        <x:v>Headphones</x:v>
      </x:c>
      <x:c r="G819" s="1" t="n">
        <x:v>4</x:v>
      </x:c>
      <x:c r="H819" s="2" t="n">
        <x:v>2200</x:v>
      </x:c>
      <x:c r="I819" s="3" t="n">
        <x:v>0</x:v>
      </x:c>
      <x:c r="J819" s="2" t="n">
        <x:v>1450</x:v>
      </x:c>
      <x:c r="K819" s="2" t="n">
        <x:v>120</x:v>
      </x:c>
      <x:c r="L819" s="2" t="n">
        <x:f>G819*H819</x:f>
        <x:v>8800</x:v>
      </x:c>
      <x:c r="M819" s="2" t="n">
        <x:f>ROUND(L819*(1-I819),2)</x:f>
        <x:v>8800</x:v>
      </x:c>
      <x:c r="N819" s="2" t="n">
        <x:f>G819*J819</x:f>
        <x:v>5800</x:v>
      </x:c>
      <x:c r="O819" s="2" t="n">
        <x:f>M819-N819-K819</x:f>
        <x:v>2880</x:v>
      </x:c>
      <x:c r="P819" s="1" t="str">
        <x:f>TEXT(B819,"yyyy-mm")</x:f>
        <x:v>2025-10</x:v>
      </x:c>
    </x:row>
    <x:row r="820">
      <x:c r="A820" s="1" t="str">
        <x:v>ORD-0816</x:v>
      </x:c>
      <x:c r="B820" s="4" t="d">
        <x:v>2025-12-09T00:00:00.000Z</x:v>
      </x:c>
      <x:c r="C820" s="1" t="str">
        <x:v>C-137</x:v>
      </x:c>
      <x:c r="D820" s="1" t="str">
        <x:v>North</x:v>
      </x:c>
      <x:c r="E820" s="1" t="str">
        <x:v>Fashion</x:v>
      </x:c>
      <x:c r="F820" s="1" t="str">
        <x:v>Sneakers</x:v>
      </x:c>
      <x:c r="G820" s="1" t="n">
        <x:v>3</x:v>
      </x:c>
      <x:c r="H820" s="2" t="n">
        <x:v>2400</x:v>
      </x:c>
      <x:c r="I820" s="3" t="n">
        <x:v>0.1</x:v>
      </x:c>
      <x:c r="J820" s="2" t="n">
        <x:v>1200</x:v>
      </x:c>
      <x:c r="K820" s="2" t="n">
        <x:v>120</x:v>
      </x:c>
      <x:c r="L820" s="2" t="n">
        <x:f>G820*H820</x:f>
        <x:v>7200</x:v>
      </x:c>
      <x:c r="M820" s="2" t="n">
        <x:f>ROUND(L820*(1-I820),2)</x:f>
        <x:v>6480</x:v>
      </x:c>
      <x:c r="N820" s="2" t="n">
        <x:f>G820*J820</x:f>
        <x:v>3600</x:v>
      </x:c>
      <x:c r="O820" s="2" t="n">
        <x:f>M820-N820-K820</x:f>
        <x:v>2760</x:v>
      </x:c>
      <x:c r="P820" s="1" t="str">
        <x:f>TEXT(B820,"yyyy-mm")</x:f>
        <x:v>2025-12</x:v>
      </x:c>
    </x:row>
    <x:row r="821">
      <x:c r="A821" s="1" t="str">
        <x:v>ORD-0817</x:v>
      </x:c>
      <x:c r="B821" s="4" t="d">
        <x:v>2025-09-24T00:00:00.000Z</x:v>
      </x:c>
      <x:c r="C821" s="1" t="str">
        <x:v>C-124</x:v>
      </x:c>
      <x:c r="D821" s="1" t="str">
        <x:v>South</x:v>
      </x:c>
      <x:c r="E821" s="1" t="str">
        <x:v>Home</x:v>
      </x:c>
      <x:c r="F821" s="1" t="str">
        <x:v>Desk lamp</x:v>
      </x:c>
      <x:c r="G821" s="1" t="n">
        <x:v>3</x:v>
      </x:c>
      <x:c r="H821" s="2" t="n">
        <x:v>1100</x:v>
      </x:c>
      <x:c r="I821" s="3" t="n">
        <x:v>0.35</x:v>
      </x:c>
      <x:c r="J821" s="2" t="n">
        <x:v>650</x:v>
      </x:c>
      <x:c r="K821" s="2" t="n">
        <x:v>120</x:v>
      </x:c>
      <x:c r="L821" s="2" t="n">
        <x:f>G821*H821</x:f>
        <x:v>3300</x:v>
      </x:c>
      <x:c r="M821" s="2" t="n">
        <x:f>ROUND(L821*(1-I821),2)</x:f>
        <x:v>2145</x:v>
      </x:c>
      <x:c r="N821" s="2" t="n">
        <x:f>G821*J821</x:f>
        <x:v>1950</x:v>
      </x:c>
      <x:c r="O821" s="2" t="n">
        <x:f>M821-N821-K821</x:f>
        <x:v>75</x:v>
      </x:c>
      <x:c r="P821" s="1" t="str">
        <x:f>TEXT(B821,"yyyy-mm")</x:f>
        <x:v>2025-09</x:v>
      </x:c>
    </x:row>
    <x:row r="822">
      <x:c r="A822" s="1" t="str">
        <x:v>ORD-0818</x:v>
      </x:c>
      <x:c r="B822" s="4" t="d">
        <x:v>2025-10-18T00:00:00.000Z</x:v>
      </x:c>
      <x:c r="C822" s="1" t="str">
        <x:v>C-006</x:v>
      </x:c>
      <x:c r="D822" s="1" t="str">
        <x:v>North</x:v>
      </x:c>
      <x:c r="E822" s="1" t="str">
        <x:v>Electronics</x:v>
      </x:c>
      <x:c r="F822" s="1" t="str">
        <x:v>Smartwatch</x:v>
      </x:c>
      <x:c r="G822" s="1" t="n">
        <x:v>1</x:v>
      </x:c>
      <x:c r="H822" s="2" t="n">
        <x:v>4200</x:v>
      </x:c>
      <x:c r="I822" s="3" t="n">
        <x:v>0.1</x:v>
      </x:c>
      <x:c r="J822" s="2" t="n">
        <x:v>3000</x:v>
      </x:c>
      <x:c r="K822" s="2" t="n">
        <x:v>50</x:v>
      </x:c>
      <x:c r="L822" s="2" t="n">
        <x:f>G822*H822</x:f>
        <x:v>4200</x:v>
      </x:c>
      <x:c r="M822" s="2" t="n">
        <x:f>ROUND(L822*(1-I822),2)</x:f>
        <x:v>3780</x:v>
      </x:c>
      <x:c r="N822" s="2" t="n">
        <x:f>G822*J822</x:f>
        <x:v>3000</x:v>
      </x:c>
      <x:c r="O822" s="2" t="n">
        <x:f>M822-N822-K822</x:f>
        <x:v>730</x:v>
      </x:c>
      <x:c r="P822" s="1" t="str">
        <x:f>TEXT(B822,"yyyy-mm")</x:f>
        <x:v>2025-10</x:v>
      </x:c>
    </x:row>
    <x:row r="823">
      <x:c r="A823" s="1" t="str">
        <x:v>ORD-0819</x:v>
      </x:c>
      <x:c r="B823" s="4" t="d">
        <x:v>2025-07-22T00:00:00.000Z</x:v>
      </x:c>
      <x:c r="C823" s="1" t="str">
        <x:v>C-229</x:v>
      </x:c>
      <x:c r="D823" s="1" t="str">
        <x:v>East</x:v>
      </x:c>
      <x:c r="E823" s="1" t="str">
        <x:v>Home</x:v>
      </x:c>
      <x:c r="F823" s="1" t="str">
        <x:v>Storage box</x:v>
      </x:c>
      <x:c r="G823" s="1" t="n">
        <x:v>2</x:v>
      </x:c>
      <x:c r="H823" s="2" t="n">
        <x:v>800</x:v>
      </x:c>
      <x:c r="I823" s="3" t="n">
        <x:v>0</x:v>
      </x:c>
      <x:c r="J823" s="2" t="n">
        <x:v>420</x:v>
      </x:c>
      <x:c r="K823" s="2" t="n">
        <x:v>120</x:v>
      </x:c>
      <x:c r="L823" s="2" t="n">
        <x:f>G823*H823</x:f>
        <x:v>1600</x:v>
      </x:c>
      <x:c r="M823" s="2" t="n">
        <x:f>ROUND(L823*(1-I823),2)</x:f>
        <x:v>1600</x:v>
      </x:c>
      <x:c r="N823" s="2" t="n">
        <x:f>G823*J823</x:f>
        <x:v>840</x:v>
      </x:c>
      <x:c r="O823" s="2" t="n">
        <x:f>M823-N823-K823</x:f>
        <x:v>640</x:v>
      </x:c>
      <x:c r="P823" s="1" t="str">
        <x:f>TEXT(B823,"yyyy-mm")</x:f>
        <x:v>2025-07</x:v>
      </x:c>
    </x:row>
    <x:row r="824">
      <x:c r="A824" s="1" t="str">
        <x:v>ORD-0820</x:v>
      </x:c>
      <x:c r="B824" s="4" t="d">
        <x:v>2025-05-01T00:00:00.000Z</x:v>
      </x:c>
      <x:c r="C824" s="1" t="str">
        <x:v>C-048</x:v>
      </x:c>
      <x:c r="D824" s="1" t="str">
        <x:v>North</x:v>
      </x:c>
      <x:c r="E824" s="1" t="str">
        <x:v>Fashion</x:v>
      </x:c>
      <x:c r="F824" s="1" t="str">
        <x:v>T-shirt</x:v>
      </x:c>
      <x:c r="G824" s="1" t="n">
        <x:v>2</x:v>
      </x:c>
      <x:c r="H824" s="2" t="n">
        <x:v>700</x:v>
      </x:c>
      <x:c r="I824" s="3" t="n">
        <x:v>0</x:v>
      </x:c>
      <x:c r="J824" s="2" t="n">
        <x:v>300</x:v>
      </x:c>
      <x:c r="K824" s="2" t="n">
        <x:v>120</x:v>
      </x:c>
      <x:c r="L824" s="2" t="n">
        <x:f>G824*H824</x:f>
        <x:v>1400</x:v>
      </x:c>
      <x:c r="M824" s="2" t="n">
        <x:f>ROUND(L824*(1-I824),2)</x:f>
        <x:v>1400</x:v>
      </x:c>
      <x:c r="N824" s="2" t="n">
        <x:f>G824*J824</x:f>
        <x:v>600</x:v>
      </x:c>
      <x:c r="O824" s="2" t="n">
        <x:f>M824-N824-K824</x:f>
        <x:v>680</x:v>
      </x:c>
      <x:c r="P824" s="1" t="str">
        <x:f>TEXT(B824,"yyyy-mm")</x:f>
        <x:v>2025-05</x:v>
      </x:c>
    </x:row>
    <x:row r="825">
      <x:c r="A825" s="1" t="str">
        <x:v>ORD-0821</x:v>
      </x:c>
      <x:c r="B825" s="4" t="d">
        <x:v>2025-09-28T00:00:00.000Z</x:v>
      </x:c>
      <x:c r="C825" s="1" t="str">
        <x:v>C-067</x:v>
      </x:c>
      <x:c r="D825" s="1" t="str">
        <x:v>West</x:v>
      </x:c>
      <x:c r="E825" s="1" t="str">
        <x:v>Electronics</x:v>
      </x:c>
      <x:c r="F825" s="1" t="str">
        <x:v>Keyboard</x:v>
      </x:c>
      <x:c r="G825" s="1" t="n">
        <x:v>2</x:v>
      </x:c>
      <x:c r="H825" s="2" t="n">
        <x:v>1500</x:v>
      </x:c>
      <x:c r="I825" s="3" t="n">
        <x:v>0</x:v>
      </x:c>
      <x:c r="J825" s="2" t="n">
        <x:v>900</x:v>
      </x:c>
      <x:c r="K825" s="2" t="n">
        <x:v>50</x:v>
      </x:c>
      <x:c r="L825" s="2" t="n">
        <x:f>G825*H825</x:f>
        <x:v>3000</x:v>
      </x:c>
      <x:c r="M825" s="2" t="n">
        <x:f>ROUND(L825*(1-I825),2)</x:f>
        <x:v>3000</x:v>
      </x:c>
      <x:c r="N825" s="2" t="n">
        <x:f>G825*J825</x:f>
        <x:v>1800</x:v>
      </x:c>
      <x:c r="O825" s="2" t="n">
        <x:f>M825-N825-K825</x:f>
        <x:v>1150</x:v>
      </x:c>
      <x:c r="P825" s="1" t="str">
        <x:f>TEXT(B825,"yyyy-mm")</x:f>
        <x:v>2025-09</x:v>
      </x:c>
    </x:row>
    <x:row r="826">
      <x:c r="A826" s="1" t="str">
        <x:v>ORD-0822</x:v>
      </x:c>
      <x:c r="B826" s="4" t="d">
        <x:v>2025-10-15T00:00:00.000Z</x:v>
      </x:c>
      <x:c r="C826" s="1" t="str">
        <x:v>C-039</x:v>
      </x:c>
      <x:c r="D826" s="1" t="str">
        <x:v>West</x:v>
      </x:c>
      <x:c r="E826" s="1" t="str">
        <x:v>Fashion</x:v>
      </x:c>
      <x:c r="F826" s="1" t="str">
        <x:v>Sneakers</x:v>
      </x:c>
      <x:c r="G826" s="1" t="n">
        <x:v>3</x:v>
      </x:c>
      <x:c r="H826" s="2" t="n">
        <x:v>2400</x:v>
      </x:c>
      <x:c r="I826" s="3" t="n">
        <x:v>0.1</x:v>
      </x:c>
      <x:c r="J826" s="2" t="n">
        <x:v>1200</x:v>
      </x:c>
      <x:c r="K826" s="2" t="n">
        <x:v>80</x:v>
      </x:c>
      <x:c r="L826" s="2" t="n">
        <x:f>G826*H826</x:f>
        <x:v>7200</x:v>
      </x:c>
      <x:c r="M826" s="2" t="n">
        <x:f>ROUND(L826*(1-I826),2)</x:f>
        <x:v>6480</x:v>
      </x:c>
      <x:c r="N826" s="2" t="n">
        <x:f>G826*J826</x:f>
        <x:v>3600</x:v>
      </x:c>
      <x:c r="O826" s="2" t="n">
        <x:f>M826-N826-K826</x:f>
        <x:v>2800</x:v>
      </x:c>
      <x:c r="P826" s="1" t="str">
        <x:f>TEXT(B826,"yyyy-mm")</x:f>
        <x:v>2025-10</x:v>
      </x:c>
    </x:row>
    <x:row r="827">
      <x:c r="A827" s="1" t="str">
        <x:v>ORD-0823</x:v>
      </x:c>
      <x:c r="B827" s="4" t="d">
        <x:v>2025-10-06T00:00:00.000Z</x:v>
      </x:c>
      <x:c r="C827" s="1" t="str">
        <x:v>C-038</x:v>
      </x:c>
      <x:c r="D827" s="1" t="str">
        <x:v>East</x:v>
      </x:c>
      <x:c r="E827" s="1" t="str">
        <x:v>Fashion</x:v>
      </x:c>
      <x:c r="F827" s="1" t="str">
        <x:v>Backpack</x:v>
      </x:c>
      <x:c r="G827" s="1" t="n">
        <x:v>1</x:v>
      </x:c>
      <x:c r="H827" s="2" t="n">
        <x:v>1300</x:v>
      </x:c>
      <x:c r="I827" s="3" t="n">
        <x:v>0.1</x:v>
      </x:c>
      <x:c r="J827" s="2" t="n">
        <x:v>650</x:v>
      </x:c>
      <x:c r="K827" s="2" t="n">
        <x:v>80</x:v>
      </x:c>
      <x:c r="L827" s="2" t="n">
        <x:f>G827*H827</x:f>
        <x:v>1300</x:v>
      </x:c>
      <x:c r="M827" s="2" t="n">
        <x:f>ROUND(L827*(1-I827),2)</x:f>
        <x:v>1170</x:v>
      </x:c>
      <x:c r="N827" s="2" t="n">
        <x:f>G827*J827</x:f>
        <x:v>650</x:v>
      </x:c>
      <x:c r="O827" s="2" t="n">
        <x:f>M827-N827-K827</x:f>
        <x:v>440</x:v>
      </x:c>
      <x:c r="P827" s="1" t="str">
        <x:f>TEXT(B827,"yyyy-mm")</x:f>
        <x:v>2025-10</x:v>
      </x:c>
    </x:row>
    <x:row r="828">
      <x:c r="A828" s="1" t="str">
        <x:v>ORD-0824</x:v>
      </x:c>
      <x:c r="B828" s="4" t="d">
        <x:v>2025-06-27T00:00:00.000Z</x:v>
      </x:c>
      <x:c r="C828" s="1" t="str">
        <x:v>C-136</x:v>
      </x:c>
      <x:c r="D828" s="1" t="str">
        <x:v>South</x:v>
      </x:c>
      <x:c r="E828" s="1" t="str">
        <x:v>Electronics</x:v>
      </x:c>
      <x:c r="F828" s="1" t="str">
        <x:v>Headphones</x:v>
      </x:c>
      <x:c r="G828" s="1" t="n">
        <x:v>4</x:v>
      </x:c>
      <x:c r="H828" s="2" t="n">
        <x:v>2200</x:v>
      </x:c>
      <x:c r="I828" s="3" t="n">
        <x:v>0.1</x:v>
      </x:c>
      <x:c r="J828" s="2" t="n">
        <x:v>1450</x:v>
      </x:c>
      <x:c r="K828" s="2" t="n">
        <x:v>50</x:v>
      </x:c>
      <x:c r="L828" s="2" t="n">
        <x:f>G828*H828</x:f>
        <x:v>8800</x:v>
      </x:c>
      <x:c r="M828" s="2" t="n">
        <x:f>ROUND(L828*(1-I828),2)</x:f>
        <x:v>7920</x:v>
      </x:c>
      <x:c r="N828" s="2" t="n">
        <x:f>G828*J828</x:f>
        <x:v>5800</x:v>
      </x:c>
      <x:c r="O828" s="2" t="n">
        <x:f>M828-N828-K828</x:f>
        <x:v>2070</x:v>
      </x:c>
      <x:c r="P828" s="1" t="str">
        <x:f>TEXT(B828,"yyyy-mm")</x:f>
        <x:v>2025-06</x:v>
      </x:c>
    </x:row>
    <x:row r="829">
      <x:c r="A829" s="1" t="str">
        <x:v>ORD-0825</x:v>
      </x:c>
      <x:c r="B829" s="4" t="d">
        <x:v>2025-08-13T00:00:00.000Z</x:v>
      </x:c>
      <x:c r="C829" s="1" t="str">
        <x:v>C-092</x:v>
      </x:c>
      <x:c r="D829" s="1" t="str">
        <x:v>West</x:v>
      </x:c>
      <x:c r="E829" s="1" t="str">
        <x:v>Fashion</x:v>
      </x:c>
      <x:c r="F829" s="1" t="str">
        <x:v>T-shirt</x:v>
      </x:c>
      <x:c r="G829" s="1" t="n">
        <x:v>1</x:v>
      </x:c>
      <x:c r="H829" s="2" t="n">
        <x:v>700</x:v>
      </x:c>
      <x:c r="I829" s="3" t="n">
        <x:v>0.25</x:v>
      </x:c>
      <x:c r="J829" s="2" t="n">
        <x:v>300</x:v>
      </x:c>
      <x:c r="K829" s="2" t="n">
        <x:v>50</x:v>
      </x:c>
      <x:c r="L829" s="2" t="n">
        <x:f>G829*H829</x:f>
        <x:v>700</x:v>
      </x:c>
      <x:c r="M829" s="2" t="n">
        <x:f>ROUND(L829*(1-I829),2)</x:f>
        <x:v>525</x:v>
      </x:c>
      <x:c r="N829" s="2" t="n">
        <x:f>G829*J829</x:f>
        <x:v>300</x:v>
      </x:c>
      <x:c r="O829" s="2" t="n">
        <x:f>M829-N829-K829</x:f>
        <x:v>175</x:v>
      </x:c>
      <x:c r="P829" s="1" t="str">
        <x:f>TEXT(B829,"yyyy-mm")</x:f>
        <x:v>2025-08</x:v>
      </x:c>
    </x:row>
    <x:row r="830">
      <x:c r="A830" s="1" t="str">
        <x:v>ORD-0826</x:v>
      </x:c>
      <x:c r="B830" s="4" t="d">
        <x:v>2025-08-20T00:00:00.000Z</x:v>
      </x:c>
      <x:c r="C830" s="1" t="str">
        <x:v>C-055</x:v>
      </x:c>
      <x:c r="D830" s="1" t="str">
        <x:v>West</x:v>
      </x:c>
      <x:c r="E830" s="1" t="str">
        <x:v>Home</x:v>
      </x:c>
      <x:c r="F830" s="1" t="str">
        <x:v>Office chair</x:v>
      </x:c>
      <x:c r="G830" s="1" t="n">
        <x:v>3</x:v>
      </x:c>
      <x:c r="H830" s="2" t="n">
        <x:v>5500</x:v>
      </x:c>
      <x:c r="I830" s="3" t="n">
        <x:v>0.05</x:v>
      </x:c>
      <x:c r="J830" s="2" t="n">
        <x:v>4400</x:v>
      </x:c>
      <x:c r="K830" s="2" t="n">
        <x:v>50</x:v>
      </x:c>
      <x:c r="L830" s="2" t="n">
        <x:f>G830*H830</x:f>
        <x:v>16500</x:v>
      </x:c>
      <x:c r="M830" s="2" t="n">
        <x:f>ROUND(L830*(1-I830),2)</x:f>
        <x:v>15675</x:v>
      </x:c>
      <x:c r="N830" s="2" t="n">
        <x:f>G830*J830</x:f>
        <x:v>13200</x:v>
      </x:c>
      <x:c r="O830" s="2" t="n">
        <x:f>M830-N830-K830</x:f>
        <x:v>2425</x:v>
      </x:c>
      <x:c r="P830" s="1" t="str">
        <x:f>TEXT(B830,"yyyy-mm")</x:f>
        <x:v>2025-08</x:v>
      </x:c>
    </x:row>
    <x:row r="831">
      <x:c r="A831" s="1" t="str">
        <x:v>ORD-0827</x:v>
      </x:c>
      <x:c r="B831" s="4" t="d">
        <x:v>2025-01-24T00:00:00.000Z</x:v>
      </x:c>
      <x:c r="C831" s="1" t="str">
        <x:v>C-129</x:v>
      </x:c>
      <x:c r="D831" s="1" t="str">
        <x:v>West</x:v>
      </x:c>
      <x:c r="E831" s="1" t="str">
        <x:v>Electronics</x:v>
      </x:c>
      <x:c r="F831" s="1" t="str">
        <x:v>Keyboard</x:v>
      </x:c>
      <x:c r="G831" s="1" t="n">
        <x:v>1</x:v>
      </x:c>
      <x:c r="H831" s="2" t="n">
        <x:v>1500</x:v>
      </x:c>
      <x:c r="I831" s="3" t="n">
        <x:v>0.25</x:v>
      </x:c>
      <x:c r="J831" s="2" t="n">
        <x:v>900</x:v>
      </x:c>
      <x:c r="K831" s="2" t="n">
        <x:v>80</x:v>
      </x:c>
      <x:c r="L831" s="2" t="n">
        <x:f>G831*H831</x:f>
        <x:v>1500</x:v>
      </x:c>
      <x:c r="M831" s="2" t="n">
        <x:f>ROUND(L831*(1-I831),2)</x:f>
        <x:v>1125</x:v>
      </x:c>
      <x:c r="N831" s="2" t="n">
        <x:f>G831*J831</x:f>
        <x:v>900</x:v>
      </x:c>
      <x:c r="O831" s="2" t="n">
        <x:f>M831-N831-K831</x:f>
        <x:v>145</x:v>
      </x:c>
      <x:c r="P831" s="1" t="str">
        <x:f>TEXT(B831,"yyyy-mm")</x:f>
        <x:v>2025-01</x:v>
      </x:c>
    </x:row>
    <x:row r="832">
      <x:c r="A832" s="1" t="str">
        <x:v>ORD-0828</x:v>
      </x:c>
      <x:c r="B832" s="4" t="d">
        <x:v>2025-03-22T00:00:00.000Z</x:v>
      </x:c>
      <x:c r="C832" s="1" t="str">
        <x:v>C-200</x:v>
      </x:c>
      <x:c r="D832" s="1" t="str">
        <x:v>East</x:v>
      </x:c>
      <x:c r="E832" s="1" t="str">
        <x:v>Electronics</x:v>
      </x:c>
      <x:c r="F832" s="1" t="str">
        <x:v>Headphones</x:v>
      </x:c>
      <x:c r="G832" s="1" t="n">
        <x:v>2</x:v>
      </x:c>
      <x:c r="H832" s="2" t="n">
        <x:v>2200</x:v>
      </x:c>
      <x:c r="I832" s="3" t="n">
        <x:v>0</x:v>
      </x:c>
      <x:c r="J832" s="2" t="n">
        <x:v>1450</x:v>
      </x:c>
      <x:c r="K832" s="2" t="n">
        <x:v>120</x:v>
      </x:c>
      <x:c r="L832" s="2" t="n">
        <x:f>G832*H832</x:f>
        <x:v>4400</x:v>
      </x:c>
      <x:c r="M832" s="2" t="n">
        <x:f>ROUND(L832*(1-I832),2)</x:f>
        <x:v>4400</x:v>
      </x:c>
      <x:c r="N832" s="2" t="n">
        <x:f>G832*J832</x:f>
        <x:v>2900</x:v>
      </x:c>
      <x:c r="O832" s="2" t="n">
        <x:f>M832-N832-K832</x:f>
        <x:v>1380</x:v>
      </x:c>
      <x:c r="P832" s="1" t="str">
        <x:f>TEXT(B832,"yyyy-mm")</x:f>
        <x:v>2025-03</x:v>
      </x:c>
    </x:row>
    <x:row r="833">
      <x:c r="A833" s="1" t="str">
        <x:v>ORD-0829</x:v>
      </x:c>
      <x:c r="B833" s="4" t="d">
        <x:v>2025-05-01T00:00:00.000Z</x:v>
      </x:c>
      <x:c r="C833" s="1" t="str">
        <x:v>C-264</x:v>
      </x:c>
      <x:c r="D833" s="1" t="str">
        <x:v>West</x:v>
      </x:c>
      <x:c r="E833" s="1" t="str">
        <x:v>Home</x:v>
      </x:c>
      <x:c r="F833" s="1" t="str">
        <x:v>Office chair</x:v>
      </x:c>
      <x:c r="G833" s="1" t="n">
        <x:v>4</x:v>
      </x:c>
      <x:c r="H833" s="2" t="n">
        <x:v>5500</x:v>
      </x:c>
      <x:c r="I833" s="3" t="n">
        <x:v>0.25</x:v>
      </x:c>
      <x:c r="J833" s="2" t="n">
        <x:v>4400</x:v>
      </x:c>
      <x:c r="K833" s="2" t="n">
        <x:v>80</x:v>
      </x:c>
      <x:c r="L833" s="2" t="n">
        <x:f>G833*H833</x:f>
        <x:v>22000</x:v>
      </x:c>
      <x:c r="M833" s="2" t="n">
        <x:f>ROUND(L833*(1-I833),2)</x:f>
        <x:v>16500</x:v>
      </x:c>
      <x:c r="N833" s="2" t="n">
        <x:f>G833*J833</x:f>
        <x:v>17600</x:v>
      </x:c>
      <x:c r="O833" s="2" t="n">
        <x:f>M833-N833-K833</x:f>
        <x:v>-1180</x:v>
      </x:c>
      <x:c r="P833" s="1" t="str">
        <x:f>TEXT(B833,"yyyy-mm")</x:f>
        <x:v>2025-05</x:v>
      </x:c>
    </x:row>
    <x:row r="834">
      <x:c r="A834" s="1" t="str">
        <x:v>ORD-0830</x:v>
      </x:c>
      <x:c r="B834" s="4" t="d">
        <x:v>2025-06-08T00:00:00.000Z</x:v>
      </x:c>
      <x:c r="C834" s="1" t="str">
        <x:v>C-002</x:v>
      </x:c>
      <x:c r="D834" s="1" t="str">
        <x:v>West</x:v>
      </x:c>
      <x:c r="E834" s="1" t="str">
        <x:v>Electronics</x:v>
      </x:c>
      <x:c r="F834" s="1" t="str">
        <x:v>Keyboard</x:v>
      </x:c>
      <x:c r="G834" s="1" t="n">
        <x:v>4</x:v>
      </x:c>
      <x:c r="H834" s="2" t="n">
        <x:v>1500</x:v>
      </x:c>
      <x:c r="I834" s="3" t="n">
        <x:v>0.25</x:v>
      </x:c>
      <x:c r="J834" s="2" t="n">
        <x:v>900</x:v>
      </x:c>
      <x:c r="K834" s="2" t="n">
        <x:v>50</x:v>
      </x:c>
      <x:c r="L834" s="2" t="n">
        <x:f>G834*H834</x:f>
        <x:v>6000</x:v>
      </x:c>
      <x:c r="M834" s="2" t="n">
        <x:f>ROUND(L834*(1-I834),2)</x:f>
        <x:v>4500</x:v>
      </x:c>
      <x:c r="N834" s="2" t="n">
        <x:f>G834*J834</x:f>
        <x:v>3600</x:v>
      </x:c>
      <x:c r="O834" s="2" t="n">
        <x:f>M834-N834-K834</x:f>
        <x:v>850</x:v>
      </x:c>
      <x:c r="P834" s="1" t="str">
        <x:f>TEXT(B834,"yyyy-mm")</x:f>
        <x:v>2025-06</x:v>
      </x:c>
    </x:row>
    <x:row r="835">
      <x:c r="A835" s="1" t="str">
        <x:v>ORD-0831</x:v>
      </x:c>
      <x:c r="B835" s="4" t="d">
        <x:v>2025-08-22T00:00:00.000Z</x:v>
      </x:c>
      <x:c r="C835" s="1" t="str">
        <x:v>C-156</x:v>
      </x:c>
      <x:c r="D835" s="1" t="str">
        <x:v>West</x:v>
      </x:c>
      <x:c r="E835" s="1" t="str">
        <x:v>Fashion</x:v>
      </x:c>
      <x:c r="F835" s="1" t="str">
        <x:v>Backpack</x:v>
      </x:c>
      <x:c r="G835" s="1" t="n">
        <x:v>1</x:v>
      </x:c>
      <x:c r="H835" s="2" t="n">
        <x:v>1300</x:v>
      </x:c>
      <x:c r="I835" s="3" t="n">
        <x:v>0.1</x:v>
      </x:c>
      <x:c r="J835" s="2" t="n">
        <x:v>650</x:v>
      </x:c>
      <x:c r="K835" s="2" t="n">
        <x:v>120</x:v>
      </x:c>
      <x:c r="L835" s="2" t="n">
        <x:f>G835*H835</x:f>
        <x:v>1300</x:v>
      </x:c>
      <x:c r="M835" s="2" t="n">
        <x:f>ROUND(L835*(1-I835),2)</x:f>
        <x:v>1170</x:v>
      </x:c>
      <x:c r="N835" s="2" t="n">
        <x:f>G835*J835</x:f>
        <x:v>650</x:v>
      </x:c>
      <x:c r="O835" s="2" t="n">
        <x:f>M835-N835-K835</x:f>
        <x:v>400</x:v>
      </x:c>
      <x:c r="P835" s="1" t="str">
        <x:f>TEXT(B835,"yyyy-mm")</x:f>
        <x:v>2025-08</x:v>
      </x:c>
    </x:row>
    <x:row r="836">
      <x:c r="A836" s="1" t="str">
        <x:v>ORD-0832</x:v>
      </x:c>
      <x:c r="B836" s="4" t="d">
        <x:v>2025-12-18T00:00:00.000Z</x:v>
      </x:c>
      <x:c r="C836" s="1" t="str">
        <x:v>C-175</x:v>
      </x:c>
      <x:c r="D836" s="1" t="str">
        <x:v>North</x:v>
      </x:c>
      <x:c r="E836" s="1" t="str">
        <x:v>Electronics</x:v>
      </x:c>
      <x:c r="F836" s="1" t="str">
        <x:v>Keyboard</x:v>
      </x:c>
      <x:c r="G836" s="1" t="n">
        <x:v>4</x:v>
      </x:c>
      <x:c r="H836" s="2" t="n">
        <x:v>1500</x:v>
      </x:c>
      <x:c r="I836" s="3" t="n">
        <x:v>0.1</x:v>
      </x:c>
      <x:c r="J836" s="2" t="n">
        <x:v>900</x:v>
      </x:c>
      <x:c r="K836" s="2" t="n">
        <x:v>80</x:v>
      </x:c>
      <x:c r="L836" s="2" t="n">
        <x:f>G836*H836</x:f>
        <x:v>6000</x:v>
      </x:c>
      <x:c r="M836" s="2" t="n">
        <x:f>ROUND(L836*(1-I836),2)</x:f>
        <x:v>5400</x:v>
      </x:c>
      <x:c r="N836" s="2" t="n">
        <x:f>G836*J836</x:f>
        <x:v>3600</x:v>
      </x:c>
      <x:c r="O836" s="2" t="n">
        <x:f>M836-N836-K836</x:f>
        <x:v>1720</x:v>
      </x:c>
      <x:c r="P836" s="1" t="str">
        <x:f>TEXT(B836,"yyyy-mm")</x:f>
        <x:v>2025-12</x:v>
      </x:c>
    </x:row>
    <x:row r="837">
      <x:c r="A837" s="1" t="str">
        <x:v>ORD-0833</x:v>
      </x:c>
      <x:c r="B837" s="4" t="d">
        <x:v>2025-09-02T00:00:00.000Z</x:v>
      </x:c>
      <x:c r="C837" s="1" t="str">
        <x:v>C-197</x:v>
      </x:c>
      <x:c r="D837" s="1" t="str">
        <x:v>South</x:v>
      </x:c>
      <x:c r="E837" s="1" t="str">
        <x:v>Electronics</x:v>
      </x:c>
      <x:c r="F837" s="1" t="str">
        <x:v>Smartwatch</x:v>
      </x:c>
      <x:c r="G837" s="1" t="n">
        <x:v>3</x:v>
      </x:c>
      <x:c r="H837" s="2" t="n">
        <x:v>4200</x:v>
      </x:c>
      <x:c r="I837" s="3" t="n">
        <x:v>0.25</x:v>
      </x:c>
      <x:c r="J837" s="2" t="n">
        <x:v>3000</x:v>
      </x:c>
      <x:c r="K837" s="2" t="n">
        <x:v>120</x:v>
      </x:c>
      <x:c r="L837" s="2" t="n">
        <x:f>G837*H837</x:f>
        <x:v>12600</x:v>
      </x:c>
      <x:c r="M837" s="2" t="n">
        <x:f>ROUND(L837*(1-I837),2)</x:f>
        <x:v>9450</x:v>
      </x:c>
      <x:c r="N837" s="2" t="n">
        <x:f>G837*J837</x:f>
        <x:v>9000</x:v>
      </x:c>
      <x:c r="O837" s="2" t="n">
        <x:f>M837-N837-K837</x:f>
        <x:v>330</x:v>
      </x:c>
      <x:c r="P837" s="1" t="str">
        <x:f>TEXT(B837,"yyyy-mm")</x:f>
        <x:v>2025-09</x:v>
      </x:c>
    </x:row>
    <x:row r="838">
      <x:c r="A838" s="1" t="str">
        <x:v>ORD-0834</x:v>
      </x:c>
      <x:c r="B838" s="4" t="d">
        <x:v>2025-06-23T00:00:00.000Z</x:v>
      </x:c>
      <x:c r="C838" s="1" t="str">
        <x:v>C-184</x:v>
      </x:c>
      <x:c r="D838" s="1" t="str">
        <x:v>West</x:v>
      </x:c>
      <x:c r="E838" s="1" t="str">
        <x:v>Electronics</x:v>
      </x:c>
      <x:c r="F838" s="1" t="str">
        <x:v>Keyboard</x:v>
      </x:c>
      <x:c r="G838" s="1" t="n">
        <x:v>1</x:v>
      </x:c>
      <x:c r="H838" s="2" t="n">
        <x:v>1500</x:v>
      </x:c>
      <x:c r="I838" s="3" t="n">
        <x:v>0.35</x:v>
      </x:c>
      <x:c r="J838" s="2" t="n">
        <x:v>900</x:v>
      </x:c>
      <x:c r="K838" s="2" t="n">
        <x:v>120</x:v>
      </x:c>
      <x:c r="L838" s="2" t="n">
        <x:f>G838*H838</x:f>
        <x:v>1500</x:v>
      </x:c>
      <x:c r="M838" s="2" t="n">
        <x:f>ROUND(L838*(1-I838),2)</x:f>
        <x:v>975</x:v>
      </x:c>
      <x:c r="N838" s="2" t="n">
        <x:f>G838*J838</x:f>
        <x:v>900</x:v>
      </x:c>
      <x:c r="O838" s="2" t="n">
        <x:f>M838-N838-K838</x:f>
        <x:v>-45</x:v>
      </x:c>
      <x:c r="P838" s="1" t="str">
        <x:f>TEXT(B838,"yyyy-mm")</x:f>
        <x:v>2025-06</x:v>
      </x:c>
    </x:row>
    <x:row r="839">
      <x:c r="A839" s="1" t="str">
        <x:v>ORD-0835</x:v>
      </x:c>
      <x:c r="B839" s="4" t="d">
        <x:v>2025-07-02T00:00:00.000Z</x:v>
      </x:c>
      <x:c r="C839" s="1" t="str">
        <x:v>C-099</x:v>
      </x:c>
      <x:c r="D839" s="1" t="str">
        <x:v>North</x:v>
      </x:c>
      <x:c r="E839" s="1" t="str">
        <x:v>Fashion</x:v>
      </x:c>
      <x:c r="F839" s="1" t="str">
        <x:v>T-shirt</x:v>
      </x:c>
      <x:c r="G839" s="1" t="n">
        <x:v>2</x:v>
      </x:c>
      <x:c r="H839" s="2" t="n">
        <x:v>700</x:v>
      </x:c>
      <x:c r="I839" s="3" t="n">
        <x:v>0.05</x:v>
      </x:c>
      <x:c r="J839" s="2" t="n">
        <x:v>300</x:v>
      </x:c>
      <x:c r="K839" s="2" t="n">
        <x:v>80</x:v>
      </x:c>
      <x:c r="L839" s="2" t="n">
        <x:f>G839*H839</x:f>
        <x:v>1400</x:v>
      </x:c>
      <x:c r="M839" s="2" t="n">
        <x:f>ROUND(L839*(1-I839),2)</x:f>
        <x:v>1330</x:v>
      </x:c>
      <x:c r="N839" s="2" t="n">
        <x:f>G839*J839</x:f>
        <x:v>600</x:v>
      </x:c>
      <x:c r="O839" s="2" t="n">
        <x:f>M839-N839-K839</x:f>
        <x:v>650</x:v>
      </x:c>
      <x:c r="P839" s="1" t="str">
        <x:f>TEXT(B839,"yyyy-mm")</x:f>
        <x:v>2025-07</x:v>
      </x:c>
    </x:row>
    <x:row r="840">
      <x:c r="A840" s="1" t="str">
        <x:v>ORD-0836</x:v>
      </x:c>
      <x:c r="B840" s="4" t="d">
        <x:v>2025-06-10T00:00:00.000Z</x:v>
      </x:c>
      <x:c r="C840" s="1" t="str">
        <x:v>C-256</x:v>
      </x:c>
      <x:c r="D840" s="1" t="str">
        <x:v>West</x:v>
      </x:c>
      <x:c r="E840" s="1" t="str">
        <x:v>Home</x:v>
      </x:c>
      <x:c r="F840" s="1" t="str">
        <x:v>Storage box</x:v>
      </x:c>
      <x:c r="G840" s="1" t="n">
        <x:v>1</x:v>
      </x:c>
      <x:c r="H840" s="2" t="n">
        <x:v>800</x:v>
      </x:c>
      <x:c r="I840" s="3" t="n">
        <x:v>0.35</x:v>
      </x:c>
      <x:c r="J840" s="2" t="n">
        <x:v>420</x:v>
      </x:c>
      <x:c r="K840" s="2" t="n">
        <x:v>50</x:v>
      </x:c>
      <x:c r="L840" s="2" t="n">
        <x:f>G840*H840</x:f>
        <x:v>800</x:v>
      </x:c>
      <x:c r="M840" s="2" t="n">
        <x:f>ROUND(L840*(1-I840),2)</x:f>
        <x:v>520</x:v>
      </x:c>
      <x:c r="N840" s="2" t="n">
        <x:f>G840*J840</x:f>
        <x:v>420</x:v>
      </x:c>
      <x:c r="O840" s="2" t="n">
        <x:f>M840-N840-K840</x:f>
        <x:v>50</x:v>
      </x:c>
      <x:c r="P840" s="1" t="str">
        <x:f>TEXT(B840,"yyyy-mm")</x:f>
        <x:v>2025-06</x:v>
      </x:c>
    </x:row>
    <x:row r="841">
      <x:c r="A841" s="1" t="str">
        <x:v>ORD-0837</x:v>
      </x:c>
      <x:c r="B841" s="4" t="d">
        <x:v>2025-05-02T00:00:00.000Z</x:v>
      </x:c>
      <x:c r="C841" s="1" t="str">
        <x:v>C-208</x:v>
      </x:c>
      <x:c r="D841" s="1" t="str">
        <x:v>North</x:v>
      </x:c>
      <x:c r="E841" s="1" t="str">
        <x:v>Fashion</x:v>
      </x:c>
      <x:c r="F841" s="1" t="str">
        <x:v>Backpack</x:v>
      </x:c>
      <x:c r="G841" s="1" t="n">
        <x:v>2</x:v>
      </x:c>
      <x:c r="H841" s="2" t="n">
        <x:v>1300</x:v>
      </x:c>
      <x:c r="I841" s="3" t="n">
        <x:v>0.35</x:v>
      </x:c>
      <x:c r="J841" s="2" t="n">
        <x:v>650</x:v>
      </x:c>
      <x:c r="K841" s="2" t="n">
        <x:v>120</x:v>
      </x:c>
      <x:c r="L841" s="2" t="n">
        <x:f>G841*H841</x:f>
        <x:v>2600</x:v>
      </x:c>
      <x:c r="M841" s="2" t="n">
        <x:f>ROUND(L841*(1-I841),2)</x:f>
        <x:v>1690</x:v>
      </x:c>
      <x:c r="N841" s="2" t="n">
        <x:f>G841*J841</x:f>
        <x:v>1300</x:v>
      </x:c>
      <x:c r="O841" s="2" t="n">
        <x:f>M841-N841-K841</x:f>
        <x:v>270</x:v>
      </x:c>
      <x:c r="P841" s="1" t="str">
        <x:f>TEXT(B841,"yyyy-mm")</x:f>
        <x:v>2025-05</x:v>
      </x:c>
    </x:row>
    <x:row r="842">
      <x:c r="A842" s="1" t="str">
        <x:v>ORD-0838</x:v>
      </x:c>
      <x:c r="B842" s="4" t="d">
        <x:v>2025-10-28T00:00:00.000Z</x:v>
      </x:c>
      <x:c r="C842" s="1" t="str">
        <x:v>C-275</x:v>
      </x:c>
      <x:c r="D842" s="1" t="str">
        <x:v>South</x:v>
      </x:c>
      <x:c r="E842" s="1" t="str">
        <x:v>Home</x:v>
      </x:c>
      <x:c r="F842" s="1" t="str">
        <x:v>Desk lamp</x:v>
      </x:c>
      <x:c r="G842" s="1" t="n">
        <x:v>2</x:v>
      </x:c>
      <x:c r="H842" s="2" t="n">
        <x:v>1100</x:v>
      </x:c>
      <x:c r="I842" s="3" t="n">
        <x:v>0.35</x:v>
      </x:c>
      <x:c r="J842" s="2" t="n">
        <x:v>650</x:v>
      </x:c>
      <x:c r="K842" s="2" t="n">
        <x:v>50</x:v>
      </x:c>
      <x:c r="L842" s="2" t="n">
        <x:f>G842*H842</x:f>
        <x:v>2200</x:v>
      </x:c>
      <x:c r="M842" s="2" t="n">
        <x:f>ROUND(L842*(1-I842),2)</x:f>
        <x:v>1430</x:v>
      </x:c>
      <x:c r="N842" s="2" t="n">
        <x:f>G842*J842</x:f>
        <x:v>1300</x:v>
      </x:c>
      <x:c r="O842" s="2" t="n">
        <x:f>M842-N842-K842</x:f>
        <x:v>80</x:v>
      </x:c>
      <x:c r="P842" s="1" t="str">
        <x:f>TEXT(B842,"yyyy-mm")</x:f>
        <x:v>2025-10</x:v>
      </x:c>
    </x:row>
    <x:row r="843">
      <x:c r="A843" s="1" t="str">
        <x:v>ORD-0839</x:v>
      </x:c>
      <x:c r="B843" s="4" t="d">
        <x:v>2025-01-21T00:00:00.000Z</x:v>
      </x:c>
      <x:c r="C843" s="1" t="str">
        <x:v>C-010</x:v>
      </x:c>
      <x:c r="D843" s="1" t="str">
        <x:v>West</x:v>
      </x:c>
      <x:c r="E843" s="1" t="str">
        <x:v>Electronics</x:v>
      </x:c>
      <x:c r="F843" s="1" t="str">
        <x:v>Smartwatch</x:v>
      </x:c>
      <x:c r="G843" s="1" t="n">
        <x:v>1</x:v>
      </x:c>
      <x:c r="H843" s="2" t="n">
        <x:v>4200</x:v>
      </x:c>
      <x:c r="I843" s="3" t="n">
        <x:v>0.15</x:v>
      </x:c>
      <x:c r="J843" s="2" t="n">
        <x:v>3000</x:v>
      </x:c>
      <x:c r="K843" s="2" t="n">
        <x:v>50</x:v>
      </x:c>
      <x:c r="L843" s="2" t="n">
        <x:f>G843*H843</x:f>
        <x:v>4200</x:v>
      </x:c>
      <x:c r="M843" s="2" t="n">
        <x:f>ROUND(L843*(1-I843),2)</x:f>
        <x:v>3570</x:v>
      </x:c>
      <x:c r="N843" s="2" t="n">
        <x:f>G843*J843</x:f>
        <x:v>3000</x:v>
      </x:c>
      <x:c r="O843" s="2" t="n">
        <x:f>M843-N843-K843</x:f>
        <x:v>520</x:v>
      </x:c>
      <x:c r="P843" s="1" t="str">
        <x:f>TEXT(B843,"yyyy-mm")</x:f>
        <x:v>2025-01</x:v>
      </x:c>
    </x:row>
    <x:row r="844">
      <x:c r="A844" s="1" t="str">
        <x:v>ORD-0840</x:v>
      </x:c>
      <x:c r="B844" s="4" t="d">
        <x:v>2025-10-06T00:00:00.000Z</x:v>
      </x:c>
      <x:c r="C844" s="1" t="str">
        <x:v>C-026</x:v>
      </x:c>
      <x:c r="D844" s="1" t="str">
        <x:v>East</x:v>
      </x:c>
      <x:c r="E844" s="1" t="str">
        <x:v>Electronics</x:v>
      </x:c>
      <x:c r="F844" s="1" t="str">
        <x:v>Smartwatch</x:v>
      </x:c>
      <x:c r="G844" s="1" t="n">
        <x:v>1</x:v>
      </x:c>
      <x:c r="H844" s="2" t="n">
        <x:v>4200</x:v>
      </x:c>
      <x:c r="I844" s="3" t="n">
        <x:v>0</x:v>
      </x:c>
      <x:c r="J844" s="2" t="n">
        <x:v>3000</x:v>
      </x:c>
      <x:c r="K844" s="2" t="n">
        <x:v>80</x:v>
      </x:c>
      <x:c r="L844" s="2" t="n">
        <x:f>G844*H844</x:f>
        <x:v>4200</x:v>
      </x:c>
      <x:c r="M844" s="2" t="n">
        <x:f>ROUND(L844*(1-I844),2)</x:f>
        <x:v>4200</x:v>
      </x:c>
      <x:c r="N844" s="2" t="n">
        <x:f>G844*J844</x:f>
        <x:v>3000</x:v>
      </x:c>
      <x:c r="O844" s="2" t="n">
        <x:f>M844-N844-K844</x:f>
        <x:v>1120</x:v>
      </x:c>
      <x:c r="P844" s="1" t="str">
        <x:f>TEXT(B844,"yyyy-mm")</x:f>
        <x:v>2025-10</x:v>
      </x:c>
    </x:row>
    <x:row r="845">
      <x:c r="A845" s="1" t="str">
        <x:v>ORD-0841</x:v>
      </x:c>
      <x:c r="B845" s="4" t="d">
        <x:v>2025-09-04T00:00:00.000Z</x:v>
      </x:c>
      <x:c r="C845" s="1" t="str">
        <x:v>C-255</x:v>
      </x:c>
      <x:c r="D845" s="1" t="str">
        <x:v>South</x:v>
      </x:c>
      <x:c r="E845" s="1" t="str">
        <x:v>Electronics</x:v>
      </x:c>
      <x:c r="F845" s="1" t="str">
        <x:v>Keyboard</x:v>
      </x:c>
      <x:c r="G845" s="1" t="n">
        <x:v>1</x:v>
      </x:c>
      <x:c r="H845" s="2" t="n">
        <x:v>1500</x:v>
      </x:c>
      <x:c r="I845" s="3" t="n">
        <x:v>0</x:v>
      </x:c>
      <x:c r="J845" s="2" t="n">
        <x:v>900</x:v>
      </x:c>
      <x:c r="K845" s="2" t="n">
        <x:v>50</x:v>
      </x:c>
      <x:c r="L845" s="2" t="n">
        <x:f>G845*H845</x:f>
        <x:v>1500</x:v>
      </x:c>
      <x:c r="M845" s="2" t="n">
        <x:f>ROUND(L845*(1-I845),2)</x:f>
        <x:v>1500</x:v>
      </x:c>
      <x:c r="N845" s="2" t="n">
        <x:f>G845*J845</x:f>
        <x:v>900</x:v>
      </x:c>
      <x:c r="O845" s="2" t="n">
        <x:f>M845-N845-K845</x:f>
        <x:v>550</x:v>
      </x:c>
      <x:c r="P845" s="1" t="str">
        <x:f>TEXT(B845,"yyyy-mm")</x:f>
        <x:v>2025-09</x:v>
      </x:c>
    </x:row>
    <x:row r="846">
      <x:c r="A846" s="1" t="str">
        <x:v>ORD-0842</x:v>
      </x:c>
      <x:c r="B846" s="4" t="d">
        <x:v>2025-07-04T00:00:00.000Z</x:v>
      </x:c>
      <x:c r="C846" s="1" t="str">
        <x:v>C-295</x:v>
      </x:c>
      <x:c r="D846" s="1" t="str">
        <x:v>South</x:v>
      </x:c>
      <x:c r="E846" s="1" t="str">
        <x:v>Home</x:v>
      </x:c>
      <x:c r="F846" s="1" t="str">
        <x:v>Office chair</x:v>
      </x:c>
      <x:c r="G846" s="1" t="n">
        <x:v>3</x:v>
      </x:c>
      <x:c r="H846" s="2" t="n">
        <x:v>5500</x:v>
      </x:c>
      <x:c r="I846" s="3" t="n">
        <x:v>0.1</x:v>
      </x:c>
      <x:c r="J846" s="2" t="n">
        <x:v>4400</x:v>
      </x:c>
      <x:c r="K846" s="2" t="n">
        <x:v>50</x:v>
      </x:c>
      <x:c r="L846" s="2" t="n">
        <x:f>G846*H846</x:f>
        <x:v>16500</x:v>
      </x:c>
      <x:c r="M846" s="2" t="n">
        <x:f>ROUND(L846*(1-I846),2)</x:f>
        <x:v>14850</x:v>
      </x:c>
      <x:c r="N846" s="2" t="n">
        <x:f>G846*J846</x:f>
        <x:v>13200</x:v>
      </x:c>
      <x:c r="O846" s="2" t="n">
        <x:f>M846-N846-K846</x:f>
        <x:v>1600</x:v>
      </x:c>
      <x:c r="P846" s="1" t="str">
        <x:f>TEXT(B846,"yyyy-mm")</x:f>
        <x:v>2025-07</x:v>
      </x:c>
    </x:row>
    <x:row r="847">
      <x:c r="A847" s="1" t="str">
        <x:v>ORD-0843</x:v>
      </x:c>
      <x:c r="B847" s="4" t="d">
        <x:v>2025-10-03T00:00:00.000Z</x:v>
      </x:c>
      <x:c r="C847" s="1" t="str">
        <x:v>C-062</x:v>
      </x:c>
      <x:c r="D847" s="1" t="str">
        <x:v>East</x:v>
      </x:c>
      <x:c r="E847" s="1" t="str">
        <x:v>Electronics</x:v>
      </x:c>
      <x:c r="F847" s="1" t="str">
        <x:v>Smartwatch</x:v>
      </x:c>
      <x:c r="G847" s="1" t="n">
        <x:v>2</x:v>
      </x:c>
      <x:c r="H847" s="2" t="n">
        <x:v>4200</x:v>
      </x:c>
      <x:c r="I847" s="3" t="n">
        <x:v>0.1</x:v>
      </x:c>
      <x:c r="J847" s="2" t="n">
        <x:v>3000</x:v>
      </x:c>
      <x:c r="K847" s="2" t="n">
        <x:v>80</x:v>
      </x:c>
      <x:c r="L847" s="2" t="n">
        <x:f>G847*H847</x:f>
        <x:v>8400</x:v>
      </x:c>
      <x:c r="M847" s="2" t="n">
        <x:f>ROUND(L847*(1-I847),2)</x:f>
        <x:v>7560</x:v>
      </x:c>
      <x:c r="N847" s="2" t="n">
        <x:f>G847*J847</x:f>
        <x:v>6000</x:v>
      </x:c>
      <x:c r="O847" s="2" t="n">
        <x:f>M847-N847-K847</x:f>
        <x:v>1480</x:v>
      </x:c>
      <x:c r="P847" s="1" t="str">
        <x:f>TEXT(B847,"yyyy-mm")</x:f>
        <x:v>2025-10</x:v>
      </x:c>
    </x:row>
    <x:row r="848">
      <x:c r="A848" s="1" t="str">
        <x:v>ORD-0844</x:v>
      </x:c>
      <x:c r="B848" s="4" t="d">
        <x:v>2025-03-06T00:00:00.000Z</x:v>
      </x:c>
      <x:c r="C848" s="1" t="str">
        <x:v>C-225</x:v>
      </x:c>
      <x:c r="D848" s="1" t="str">
        <x:v>South</x:v>
      </x:c>
      <x:c r="E848" s="1" t="str">
        <x:v>Fashion</x:v>
      </x:c>
      <x:c r="F848" s="1" t="str">
        <x:v>Backpack</x:v>
      </x:c>
      <x:c r="G848" s="1" t="n">
        <x:v>1</x:v>
      </x:c>
      <x:c r="H848" s="2" t="n">
        <x:v>1300</x:v>
      </x:c>
      <x:c r="I848" s="3" t="n">
        <x:v>0.25</x:v>
      </x:c>
      <x:c r="J848" s="2" t="n">
        <x:v>650</x:v>
      </x:c>
      <x:c r="K848" s="2" t="n">
        <x:v>50</x:v>
      </x:c>
      <x:c r="L848" s="2" t="n">
        <x:f>G848*H848</x:f>
        <x:v>1300</x:v>
      </x:c>
      <x:c r="M848" s="2" t="n">
        <x:f>ROUND(L848*(1-I848),2)</x:f>
        <x:v>975</x:v>
      </x:c>
      <x:c r="N848" s="2" t="n">
        <x:f>G848*J848</x:f>
        <x:v>650</x:v>
      </x:c>
      <x:c r="O848" s="2" t="n">
        <x:f>M848-N848-K848</x:f>
        <x:v>275</x:v>
      </x:c>
      <x:c r="P848" s="1" t="str">
        <x:f>TEXT(B848,"yyyy-mm")</x:f>
        <x:v>2025-03</x:v>
      </x:c>
    </x:row>
    <x:row r="849">
      <x:c r="A849" s="1" t="str">
        <x:v>ORD-0845</x:v>
      </x:c>
      <x:c r="B849" s="4" t="d">
        <x:v>2025-02-01T00:00:00.000Z</x:v>
      </x:c>
      <x:c r="C849" s="1" t="str">
        <x:v>C-250</x:v>
      </x:c>
      <x:c r="D849" s="1" t="str">
        <x:v>North</x:v>
      </x:c>
      <x:c r="E849" s="1" t="str">
        <x:v>Home</x:v>
      </x:c>
      <x:c r="F849" s="1" t="str">
        <x:v>Office chair</x:v>
      </x:c>
      <x:c r="G849" s="1" t="n">
        <x:v>1</x:v>
      </x:c>
      <x:c r="H849" s="2" t="n">
        <x:v>5500</x:v>
      </x:c>
      <x:c r="I849" s="3" t="n">
        <x:v>0.05</x:v>
      </x:c>
      <x:c r="J849" s="2" t="n">
        <x:v>4400</x:v>
      </x:c>
      <x:c r="K849" s="2" t="n">
        <x:v>50</x:v>
      </x:c>
      <x:c r="L849" s="2" t="n">
        <x:f>G849*H849</x:f>
        <x:v>5500</x:v>
      </x:c>
      <x:c r="M849" s="2" t="n">
        <x:f>ROUND(L849*(1-I849),2)</x:f>
        <x:v>5225</x:v>
      </x:c>
      <x:c r="N849" s="2" t="n">
        <x:f>G849*J849</x:f>
        <x:v>4400</x:v>
      </x:c>
      <x:c r="O849" s="2" t="n">
        <x:f>M849-N849-K849</x:f>
        <x:v>775</x:v>
      </x:c>
      <x:c r="P849" s="1" t="str">
        <x:f>TEXT(B849,"yyyy-mm")</x:f>
        <x:v>2025-02</x:v>
      </x:c>
    </x:row>
    <x:row r="850">
      <x:c r="A850" s="1" t="str">
        <x:v>ORD-0846</x:v>
      </x:c>
      <x:c r="B850" s="4" t="d">
        <x:v>2025-03-21T00:00:00.000Z</x:v>
      </x:c>
      <x:c r="C850" s="1" t="str">
        <x:v>C-146</x:v>
      </x:c>
      <x:c r="D850" s="1" t="str">
        <x:v>West</x:v>
      </x:c>
      <x:c r="E850" s="1" t="str">
        <x:v>Electronics</x:v>
      </x:c>
      <x:c r="F850" s="1" t="str">
        <x:v>Keyboard</x:v>
      </x:c>
      <x:c r="G850" s="1" t="n">
        <x:v>4</x:v>
      </x:c>
      <x:c r="H850" s="2" t="n">
        <x:v>1500</x:v>
      </x:c>
      <x:c r="I850" s="3" t="n">
        <x:v>0.35</x:v>
      </x:c>
      <x:c r="J850" s="2" t="n">
        <x:v>900</x:v>
      </x:c>
      <x:c r="K850" s="2" t="n">
        <x:v>120</x:v>
      </x:c>
      <x:c r="L850" s="2" t="n">
        <x:f>G850*H850</x:f>
        <x:v>6000</x:v>
      </x:c>
      <x:c r="M850" s="2" t="n">
        <x:f>ROUND(L850*(1-I850),2)</x:f>
        <x:v>3900</x:v>
      </x:c>
      <x:c r="N850" s="2" t="n">
        <x:f>G850*J850</x:f>
        <x:v>3600</x:v>
      </x:c>
      <x:c r="O850" s="2" t="n">
        <x:f>M850-N850-K850</x:f>
        <x:v>180</x:v>
      </x:c>
      <x:c r="P850" s="1" t="str">
        <x:f>TEXT(B850,"yyyy-mm")</x:f>
        <x:v>2025-03</x:v>
      </x:c>
    </x:row>
    <x:row r="851">
      <x:c r="A851" s="1" t="str">
        <x:v>ORD-0847</x:v>
      </x:c>
      <x:c r="B851" s="4" t="d">
        <x:v>2025-03-09T00:00:00.000Z</x:v>
      </x:c>
      <x:c r="C851" s="1" t="str">
        <x:v>C-268</x:v>
      </x:c>
      <x:c r="D851" s="1" t="str">
        <x:v>West</x:v>
      </x:c>
      <x:c r="E851" s="1" t="str">
        <x:v>Electronics</x:v>
      </x:c>
      <x:c r="F851" s="1" t="str">
        <x:v>Smartwatch</x:v>
      </x:c>
      <x:c r="G851" s="1" t="n">
        <x:v>4</x:v>
      </x:c>
      <x:c r="H851" s="2" t="n">
        <x:v>4200</x:v>
      </x:c>
      <x:c r="I851" s="3" t="n">
        <x:v>0.35</x:v>
      </x:c>
      <x:c r="J851" s="2" t="n">
        <x:v>3000</x:v>
      </x:c>
      <x:c r="K851" s="2" t="n">
        <x:v>50</x:v>
      </x:c>
      <x:c r="L851" s="2" t="n">
        <x:f>G851*H851</x:f>
        <x:v>16800</x:v>
      </x:c>
      <x:c r="M851" s="2" t="n">
        <x:f>ROUND(L851*(1-I851),2)</x:f>
        <x:v>10920</x:v>
      </x:c>
      <x:c r="N851" s="2" t="n">
        <x:f>G851*J851</x:f>
        <x:v>12000</x:v>
      </x:c>
      <x:c r="O851" s="2" t="n">
        <x:f>M851-N851-K851</x:f>
        <x:v>-1130</x:v>
      </x:c>
      <x:c r="P851" s="1" t="str">
        <x:f>TEXT(B851,"yyyy-mm")</x:f>
        <x:v>2025-03</x:v>
      </x:c>
    </x:row>
    <x:row r="852">
      <x:c r="A852" s="1" t="str">
        <x:v>ORD-0848</x:v>
      </x:c>
      <x:c r="B852" s="4" t="d">
        <x:v>2025-12-06T00:00:00.000Z</x:v>
      </x:c>
      <x:c r="C852" s="1" t="str">
        <x:v>C-256</x:v>
      </x:c>
      <x:c r="D852" s="1" t="str">
        <x:v>North</x:v>
      </x:c>
      <x:c r="E852" s="1" t="str">
        <x:v>Electronics</x:v>
      </x:c>
      <x:c r="F852" s="1" t="str">
        <x:v>Headphones</x:v>
      </x:c>
      <x:c r="G852" s="1" t="n">
        <x:v>3</x:v>
      </x:c>
      <x:c r="H852" s="2" t="n">
        <x:v>2200</x:v>
      </x:c>
      <x:c r="I852" s="3" t="n">
        <x:v>0.25</x:v>
      </x:c>
      <x:c r="J852" s="2" t="n">
        <x:v>1450</x:v>
      </x:c>
      <x:c r="K852" s="2" t="n">
        <x:v>80</x:v>
      </x:c>
      <x:c r="L852" s="2" t="n">
        <x:f>G852*H852</x:f>
        <x:v>6600</x:v>
      </x:c>
      <x:c r="M852" s="2" t="n">
        <x:f>ROUND(L852*(1-I852),2)</x:f>
        <x:v>4950</x:v>
      </x:c>
      <x:c r="N852" s="2" t="n">
        <x:f>G852*J852</x:f>
        <x:v>4350</x:v>
      </x:c>
      <x:c r="O852" s="2" t="n">
        <x:f>M852-N852-K852</x:f>
        <x:v>520</x:v>
      </x:c>
      <x:c r="P852" s="1" t="str">
        <x:f>TEXT(B852,"yyyy-mm")</x:f>
        <x:v>2025-12</x:v>
      </x:c>
    </x:row>
    <x:row r="853">
      <x:c r="A853" s="1" t="str">
        <x:v>ORD-0849</x:v>
      </x:c>
      <x:c r="B853" s="4" t="d">
        <x:v>2025-07-07T00:00:00.000Z</x:v>
      </x:c>
      <x:c r="C853" s="1" t="str">
        <x:v>C-061</x:v>
      </x:c>
      <x:c r="D853" s="1" t="str">
        <x:v>North</x:v>
      </x:c>
      <x:c r="E853" s="1" t="str">
        <x:v>Home</x:v>
      </x:c>
      <x:c r="F853" s="1" t="str">
        <x:v>Storage box</x:v>
      </x:c>
      <x:c r="G853" s="1" t="n">
        <x:v>3</x:v>
      </x:c>
      <x:c r="H853" s="2" t="n">
        <x:v>800</x:v>
      </x:c>
      <x:c r="I853" s="3" t="n">
        <x:v>0.05</x:v>
      </x:c>
      <x:c r="J853" s="2" t="n">
        <x:v>420</x:v>
      </x:c>
      <x:c r="K853" s="2" t="n">
        <x:v>120</x:v>
      </x:c>
      <x:c r="L853" s="2" t="n">
        <x:f>G853*H853</x:f>
        <x:v>2400</x:v>
      </x:c>
      <x:c r="M853" s="2" t="n">
        <x:f>ROUND(L853*(1-I853),2)</x:f>
        <x:v>2280</x:v>
      </x:c>
      <x:c r="N853" s="2" t="n">
        <x:f>G853*J853</x:f>
        <x:v>1260</x:v>
      </x:c>
      <x:c r="O853" s="2" t="n">
        <x:f>M853-N853-K853</x:f>
        <x:v>900</x:v>
      </x:c>
      <x:c r="P853" s="1" t="str">
        <x:f>TEXT(B853,"yyyy-mm")</x:f>
        <x:v>2025-07</x:v>
      </x:c>
    </x:row>
    <x:row r="854">
      <x:c r="A854" s="1" t="str">
        <x:v>ORD-0850</x:v>
      </x:c>
      <x:c r="B854" s="4" t="d">
        <x:v>2025-08-22T00:00:00.000Z</x:v>
      </x:c>
      <x:c r="C854" s="1" t="str">
        <x:v>C-107</x:v>
      </x:c>
      <x:c r="D854" s="1" t="str">
        <x:v>East</x:v>
      </x:c>
      <x:c r="E854" s="1" t="str">
        <x:v>Home</x:v>
      </x:c>
      <x:c r="F854" s="1" t="str">
        <x:v>Desk lamp</x:v>
      </x:c>
      <x:c r="G854" s="1" t="n">
        <x:v>1</x:v>
      </x:c>
      <x:c r="H854" s="2" t="n">
        <x:v>1100</x:v>
      </x:c>
      <x:c r="I854" s="3" t="n">
        <x:v>0.35</x:v>
      </x:c>
      <x:c r="J854" s="2" t="n">
        <x:v>650</x:v>
      </x:c>
      <x:c r="K854" s="2" t="n">
        <x:v>50</x:v>
      </x:c>
      <x:c r="L854" s="2" t="n">
        <x:f>G854*H854</x:f>
        <x:v>1100</x:v>
      </x:c>
      <x:c r="M854" s="2" t="n">
        <x:f>ROUND(L854*(1-I854),2)</x:f>
        <x:v>715</x:v>
      </x:c>
      <x:c r="N854" s="2" t="n">
        <x:f>G854*J854</x:f>
        <x:v>650</x:v>
      </x:c>
      <x:c r="O854" s="2" t="n">
        <x:f>M854-N854-K854</x:f>
        <x:v>15</x:v>
      </x:c>
      <x:c r="P854" s="1" t="str">
        <x:f>TEXT(B854,"yyyy-mm")</x:f>
        <x:v>2025-08</x:v>
      </x:c>
    </x:row>
    <x:row r="855">
      <x:c r="A855" s="1" t="str">
        <x:v>ORD-0851</x:v>
      </x:c>
      <x:c r="B855" s="4" t="d">
        <x:v>2025-02-28T00:00:00.000Z</x:v>
      </x:c>
      <x:c r="C855" s="1" t="str">
        <x:v>C-243</x:v>
      </x:c>
      <x:c r="D855" s="1" t="str">
        <x:v>West</x:v>
      </x:c>
      <x:c r="E855" s="1" t="str">
        <x:v>Electronics</x:v>
      </x:c>
      <x:c r="F855" s="1" t="str">
        <x:v>Smartwatch</x:v>
      </x:c>
      <x:c r="G855" s="1" t="n">
        <x:v>2</x:v>
      </x:c>
      <x:c r="H855" s="2" t="n">
        <x:v>4200</x:v>
      </x:c>
      <x:c r="I855" s="3" t="n">
        <x:v>0.35</x:v>
      </x:c>
      <x:c r="J855" s="2" t="n">
        <x:v>3000</x:v>
      </x:c>
      <x:c r="K855" s="2" t="n">
        <x:v>50</x:v>
      </x:c>
      <x:c r="L855" s="2" t="n">
        <x:f>G855*H855</x:f>
        <x:v>8400</x:v>
      </x:c>
      <x:c r="M855" s="2" t="n">
        <x:f>ROUND(L855*(1-I855),2)</x:f>
        <x:v>5460</x:v>
      </x:c>
      <x:c r="N855" s="2" t="n">
        <x:f>G855*J855</x:f>
        <x:v>6000</x:v>
      </x:c>
      <x:c r="O855" s="2" t="n">
        <x:f>M855-N855-K855</x:f>
        <x:v>-590</x:v>
      </x:c>
      <x:c r="P855" s="1" t="str">
        <x:f>TEXT(B855,"yyyy-mm")</x:f>
        <x:v>2025-02</x:v>
      </x:c>
    </x:row>
    <x:row r="856">
      <x:c r="A856" s="1" t="str">
        <x:v>ORD-0852</x:v>
      </x:c>
      <x:c r="B856" s="4" t="d">
        <x:v>2025-10-21T00:00:00.000Z</x:v>
      </x:c>
      <x:c r="C856" s="1" t="str">
        <x:v>C-187</x:v>
      </x:c>
      <x:c r="D856" s="1" t="str">
        <x:v>East</x:v>
      </x:c>
      <x:c r="E856" s="1" t="str">
        <x:v>Electronics</x:v>
      </x:c>
      <x:c r="F856" s="1" t="str">
        <x:v>Headphones</x:v>
      </x:c>
      <x:c r="G856" s="1" t="n">
        <x:v>2</x:v>
      </x:c>
      <x:c r="H856" s="2" t="n">
        <x:v>2200</x:v>
      </x:c>
      <x:c r="I856" s="3" t="n">
        <x:v>0</x:v>
      </x:c>
      <x:c r="J856" s="2" t="n">
        <x:v>1450</x:v>
      </x:c>
      <x:c r="K856" s="2" t="n">
        <x:v>80</x:v>
      </x:c>
      <x:c r="L856" s="2" t="n">
        <x:f>G856*H856</x:f>
        <x:v>4400</x:v>
      </x:c>
      <x:c r="M856" s="2" t="n">
        <x:f>ROUND(L856*(1-I856),2)</x:f>
        <x:v>4400</x:v>
      </x:c>
      <x:c r="N856" s="2" t="n">
        <x:f>G856*J856</x:f>
        <x:v>2900</x:v>
      </x:c>
      <x:c r="O856" s="2" t="n">
        <x:f>M856-N856-K856</x:f>
        <x:v>1420</x:v>
      </x:c>
      <x:c r="P856" s="1" t="str">
        <x:f>TEXT(B856,"yyyy-mm")</x:f>
        <x:v>2025-10</x:v>
      </x:c>
    </x:row>
    <x:row r="857">
      <x:c r="A857" s="1" t="str">
        <x:v>ORD-0853</x:v>
      </x:c>
      <x:c r="B857" s="4" t="d">
        <x:v>2025-04-04T00:00:00.000Z</x:v>
      </x:c>
      <x:c r="C857" s="1" t="str">
        <x:v>C-027</x:v>
      </x:c>
      <x:c r="D857" s="1" t="str">
        <x:v>South</x:v>
      </x:c>
      <x:c r="E857" s="1" t="str">
        <x:v>Home</x:v>
      </x:c>
      <x:c r="F857" s="1" t="str">
        <x:v>Desk lamp</x:v>
      </x:c>
      <x:c r="G857" s="1" t="n">
        <x:v>2</x:v>
      </x:c>
      <x:c r="H857" s="2" t="n">
        <x:v>1100</x:v>
      </x:c>
      <x:c r="I857" s="3" t="n">
        <x:v>0</x:v>
      </x:c>
      <x:c r="J857" s="2" t="n">
        <x:v>650</x:v>
      </x:c>
      <x:c r="K857" s="2" t="n">
        <x:v>50</x:v>
      </x:c>
      <x:c r="L857" s="2" t="n">
        <x:f>G857*H857</x:f>
        <x:v>2200</x:v>
      </x:c>
      <x:c r="M857" s="2" t="n">
        <x:f>ROUND(L857*(1-I857),2)</x:f>
        <x:v>2200</x:v>
      </x:c>
      <x:c r="N857" s="2" t="n">
        <x:f>G857*J857</x:f>
        <x:v>1300</x:v>
      </x:c>
      <x:c r="O857" s="2" t="n">
        <x:f>M857-N857-K857</x:f>
        <x:v>850</x:v>
      </x:c>
      <x:c r="P857" s="1" t="str">
        <x:f>TEXT(B857,"yyyy-mm")</x:f>
        <x:v>2025-04</x:v>
      </x:c>
    </x:row>
    <x:row r="858">
      <x:c r="A858" s="1" t="str">
        <x:v>ORD-0854</x:v>
      </x:c>
      <x:c r="B858" s="4" t="d">
        <x:v>2025-07-29T00:00:00.000Z</x:v>
      </x:c>
      <x:c r="C858" s="1" t="str">
        <x:v>C-121</x:v>
      </x:c>
      <x:c r="D858" s="1" t="str">
        <x:v>West</x:v>
      </x:c>
      <x:c r="E858" s="1" t="str">
        <x:v>Electronics</x:v>
      </x:c>
      <x:c r="F858" s="1" t="str">
        <x:v>Keyboard</x:v>
      </x:c>
      <x:c r="G858" s="1" t="n">
        <x:v>3</x:v>
      </x:c>
      <x:c r="H858" s="2" t="n">
        <x:v>1500</x:v>
      </x:c>
      <x:c r="I858" s="3" t="n">
        <x:v>0</x:v>
      </x:c>
      <x:c r="J858" s="2" t="n">
        <x:v>900</x:v>
      </x:c>
      <x:c r="K858" s="2" t="n">
        <x:v>80</x:v>
      </x:c>
      <x:c r="L858" s="2" t="n">
        <x:f>G858*H858</x:f>
        <x:v>4500</x:v>
      </x:c>
      <x:c r="M858" s="2" t="n">
        <x:f>ROUND(L858*(1-I858),2)</x:f>
        <x:v>4500</x:v>
      </x:c>
      <x:c r="N858" s="2" t="n">
        <x:f>G858*J858</x:f>
        <x:v>2700</x:v>
      </x:c>
      <x:c r="O858" s="2" t="n">
        <x:f>M858-N858-K858</x:f>
        <x:v>1720</x:v>
      </x:c>
      <x:c r="P858" s="1" t="str">
        <x:f>TEXT(B858,"yyyy-mm")</x:f>
        <x:v>2025-07</x:v>
      </x:c>
    </x:row>
    <x:row r="859">
      <x:c r="A859" s="1" t="str">
        <x:v>ORD-0855</x:v>
      </x:c>
      <x:c r="B859" s="4" t="d">
        <x:v>2025-04-25T00:00:00.000Z</x:v>
      </x:c>
      <x:c r="C859" s="1" t="str">
        <x:v>C-057</x:v>
      </x:c>
      <x:c r="D859" s="1" t="str">
        <x:v>East</x:v>
      </x:c>
      <x:c r="E859" s="1" t="str">
        <x:v>Fashion</x:v>
      </x:c>
      <x:c r="F859" s="1" t="str">
        <x:v>Backpack</x:v>
      </x:c>
      <x:c r="G859" s="1" t="n">
        <x:v>2</x:v>
      </x:c>
      <x:c r="H859" s="2" t="n">
        <x:v>1300</x:v>
      </x:c>
      <x:c r="I859" s="3" t="n">
        <x:v>0.05</x:v>
      </x:c>
      <x:c r="J859" s="2" t="n">
        <x:v>650</x:v>
      </x:c>
      <x:c r="K859" s="2" t="n">
        <x:v>50</x:v>
      </x:c>
      <x:c r="L859" s="2" t="n">
        <x:f>G859*H859</x:f>
        <x:v>2600</x:v>
      </x:c>
      <x:c r="M859" s="2" t="n">
        <x:f>ROUND(L859*(1-I859),2)</x:f>
        <x:v>2470</x:v>
      </x:c>
      <x:c r="N859" s="2" t="n">
        <x:f>G859*J859</x:f>
        <x:v>1300</x:v>
      </x:c>
      <x:c r="O859" s="2" t="n">
        <x:f>M859-N859-K859</x:f>
        <x:v>1120</x:v>
      </x:c>
      <x:c r="P859" s="1" t="str">
        <x:f>TEXT(B859,"yyyy-mm")</x:f>
        <x:v>2025-04</x:v>
      </x:c>
    </x:row>
    <x:row r="860">
      <x:c r="A860" s="1" t="str">
        <x:v>ORD-0856</x:v>
      </x:c>
      <x:c r="B860" s="4" t="d">
        <x:v>2025-04-13T00:00:00.000Z</x:v>
      </x:c>
      <x:c r="C860" s="1" t="str">
        <x:v>C-113</x:v>
      </x:c>
      <x:c r="D860" s="1" t="str">
        <x:v>North</x:v>
      </x:c>
      <x:c r="E860" s="1" t="str">
        <x:v>Home</x:v>
      </x:c>
      <x:c r="F860" s="1" t="str">
        <x:v>Office chair</x:v>
      </x:c>
      <x:c r="G860" s="1" t="n">
        <x:v>4</x:v>
      </x:c>
      <x:c r="H860" s="2" t="n">
        <x:v>5500</x:v>
      </x:c>
      <x:c r="I860" s="3" t="n">
        <x:v>0.05</x:v>
      </x:c>
      <x:c r="J860" s="2" t="n">
        <x:v>4400</x:v>
      </x:c>
      <x:c r="K860" s="2" t="n">
        <x:v>120</x:v>
      </x:c>
      <x:c r="L860" s="2" t="n">
        <x:f>G860*H860</x:f>
        <x:v>22000</x:v>
      </x:c>
      <x:c r="M860" s="2" t="n">
        <x:f>ROUND(L860*(1-I860),2)</x:f>
        <x:v>20900</x:v>
      </x:c>
      <x:c r="N860" s="2" t="n">
        <x:f>G860*J860</x:f>
        <x:v>17600</x:v>
      </x:c>
      <x:c r="O860" s="2" t="n">
        <x:f>M860-N860-K860</x:f>
        <x:v>3180</x:v>
      </x:c>
      <x:c r="P860" s="1" t="str">
        <x:f>TEXT(B860,"yyyy-mm")</x:f>
        <x:v>2025-04</x:v>
      </x:c>
    </x:row>
    <x:row r="861">
      <x:c r="A861" s="1" t="str">
        <x:v>ORD-0857</x:v>
      </x:c>
      <x:c r="B861" s="4" t="d">
        <x:v>2025-07-07T00:00:00.000Z</x:v>
      </x:c>
      <x:c r="C861" s="1" t="str">
        <x:v>C-233</x:v>
      </x:c>
      <x:c r="D861" s="1" t="str">
        <x:v>South</x:v>
      </x:c>
      <x:c r="E861" s="1" t="str">
        <x:v>Home</x:v>
      </x:c>
      <x:c r="F861" s="1" t="str">
        <x:v>Office chair</x:v>
      </x:c>
      <x:c r="G861" s="1" t="n">
        <x:v>4</x:v>
      </x:c>
      <x:c r="H861" s="2" t="n">
        <x:v>5500</x:v>
      </x:c>
      <x:c r="I861" s="3" t="n">
        <x:v>0.05</x:v>
      </x:c>
      <x:c r="J861" s="2" t="n">
        <x:v>4400</x:v>
      </x:c>
      <x:c r="K861" s="2" t="n">
        <x:v>80</x:v>
      </x:c>
      <x:c r="L861" s="2" t="n">
        <x:f>G861*H861</x:f>
        <x:v>22000</x:v>
      </x:c>
      <x:c r="M861" s="2" t="n">
        <x:f>ROUND(L861*(1-I861),2)</x:f>
        <x:v>20900</x:v>
      </x:c>
      <x:c r="N861" s="2" t="n">
        <x:f>G861*J861</x:f>
        <x:v>17600</x:v>
      </x:c>
      <x:c r="O861" s="2" t="n">
        <x:f>M861-N861-K861</x:f>
        <x:v>3220</x:v>
      </x:c>
      <x:c r="P861" s="1" t="str">
        <x:f>TEXT(B861,"yyyy-mm")</x:f>
        <x:v>2025-07</x:v>
      </x:c>
    </x:row>
    <x:row r="862">
      <x:c r="A862" s="1" t="str">
        <x:v>ORD-0858</x:v>
      </x:c>
      <x:c r="B862" s="4" t="d">
        <x:v>2025-03-12T00:00:00.000Z</x:v>
      </x:c>
      <x:c r="C862" s="1" t="str">
        <x:v>C-139</x:v>
      </x:c>
      <x:c r="D862" s="1" t="str">
        <x:v>South</x:v>
      </x:c>
      <x:c r="E862" s="1" t="str">
        <x:v>Fashion</x:v>
      </x:c>
      <x:c r="F862" s="1" t="str">
        <x:v>T-shirt</x:v>
      </x:c>
      <x:c r="G862" s="1" t="n">
        <x:v>3</x:v>
      </x:c>
      <x:c r="H862" s="2" t="n">
        <x:v>700</x:v>
      </x:c>
      <x:c r="I862" s="3" t="n">
        <x:v>0.35</x:v>
      </x:c>
      <x:c r="J862" s="2" t="n">
        <x:v>300</x:v>
      </x:c>
      <x:c r="K862" s="2" t="n">
        <x:v>50</x:v>
      </x:c>
      <x:c r="L862" s="2" t="n">
        <x:f>G862*H862</x:f>
        <x:v>2100</x:v>
      </x:c>
      <x:c r="M862" s="2" t="n">
        <x:f>ROUND(L862*(1-I862),2)</x:f>
        <x:v>1365</x:v>
      </x:c>
      <x:c r="N862" s="2" t="n">
        <x:f>G862*J862</x:f>
        <x:v>900</x:v>
      </x:c>
      <x:c r="O862" s="2" t="n">
        <x:f>M862-N862-K862</x:f>
        <x:v>415</x:v>
      </x:c>
      <x:c r="P862" s="1" t="str">
        <x:f>TEXT(B862,"yyyy-mm")</x:f>
        <x:v>2025-03</x:v>
      </x:c>
    </x:row>
    <x:row r="863">
      <x:c r="A863" s="1" t="str">
        <x:v>ORD-0859</x:v>
      </x:c>
      <x:c r="B863" s="4" t="d">
        <x:v>2025-01-05T00:00:00.000Z</x:v>
      </x:c>
      <x:c r="C863" s="1" t="str">
        <x:v>C-057</x:v>
      </x:c>
      <x:c r="D863" s="1" t="str">
        <x:v>West</x:v>
      </x:c>
      <x:c r="E863" s="1" t="str">
        <x:v>Electronics</x:v>
      </x:c>
      <x:c r="F863" s="1" t="str">
        <x:v>Headphones</x:v>
      </x:c>
      <x:c r="G863" s="1" t="n">
        <x:v>4</x:v>
      </x:c>
      <x:c r="H863" s="2" t="n">
        <x:v>2200</x:v>
      </x:c>
      <x:c r="I863" s="3" t="n">
        <x:v>0.1</x:v>
      </x:c>
      <x:c r="J863" s="2" t="n">
        <x:v>1450</x:v>
      </x:c>
      <x:c r="K863" s="2" t="n">
        <x:v>80</x:v>
      </x:c>
      <x:c r="L863" s="2" t="n">
        <x:f>G863*H863</x:f>
        <x:v>8800</x:v>
      </x:c>
      <x:c r="M863" s="2" t="n">
        <x:f>ROUND(L863*(1-I863),2)</x:f>
        <x:v>7920</x:v>
      </x:c>
      <x:c r="N863" s="2" t="n">
        <x:f>G863*J863</x:f>
        <x:v>5800</x:v>
      </x:c>
      <x:c r="O863" s="2" t="n">
        <x:f>M863-N863-K863</x:f>
        <x:v>2040</x:v>
      </x:c>
      <x:c r="P863" s="1" t="str">
        <x:f>TEXT(B863,"yyyy-mm")</x:f>
        <x:v>2025-01</x:v>
      </x:c>
    </x:row>
    <x:row r="864">
      <x:c r="A864" s="1" t="str">
        <x:v>ORD-0860</x:v>
      </x:c>
      <x:c r="B864" s="4" t="d">
        <x:v>2025-03-29T00:00:00.000Z</x:v>
      </x:c>
      <x:c r="C864" s="1" t="str">
        <x:v>C-152</x:v>
      </x:c>
      <x:c r="D864" s="1" t="str">
        <x:v>South</x:v>
      </x:c>
      <x:c r="E864" s="1" t="str">
        <x:v>Fashion</x:v>
      </x:c>
      <x:c r="F864" s="1" t="str">
        <x:v>Backpack</x:v>
      </x:c>
      <x:c r="G864" s="1" t="n">
        <x:v>2</x:v>
      </x:c>
      <x:c r="H864" s="2" t="n">
        <x:v>1300</x:v>
      </x:c>
      <x:c r="I864" s="3" t="n">
        <x:v>0.05</x:v>
      </x:c>
      <x:c r="J864" s="2" t="n">
        <x:v>650</x:v>
      </x:c>
      <x:c r="K864" s="2" t="n">
        <x:v>120</x:v>
      </x:c>
      <x:c r="L864" s="2" t="n">
        <x:f>G864*H864</x:f>
        <x:v>2600</x:v>
      </x:c>
      <x:c r="M864" s="2" t="n">
        <x:f>ROUND(L864*(1-I864),2)</x:f>
        <x:v>2470</x:v>
      </x:c>
      <x:c r="N864" s="2" t="n">
        <x:f>G864*J864</x:f>
        <x:v>1300</x:v>
      </x:c>
      <x:c r="O864" s="2" t="n">
        <x:f>M864-N864-K864</x:f>
        <x:v>1050</x:v>
      </x:c>
      <x:c r="P864" s="1" t="str">
        <x:f>TEXT(B864,"yyyy-mm")</x:f>
        <x:v>2025-03</x:v>
      </x:c>
    </x:row>
    <x:row r="865">
      <x:c r="A865" s="1" t="str">
        <x:v>ORD-0861</x:v>
      </x:c>
      <x:c r="B865" s="4" t="d">
        <x:v>2025-12-14T00:00:00.000Z</x:v>
      </x:c>
      <x:c r="C865" s="1" t="str">
        <x:v>C-268</x:v>
      </x:c>
      <x:c r="D865" s="1" t="str">
        <x:v>West</x:v>
      </x:c>
      <x:c r="E865" s="1" t="str">
        <x:v>Fashion</x:v>
      </x:c>
      <x:c r="F865" s="1" t="str">
        <x:v>T-shirt</x:v>
      </x:c>
      <x:c r="G865" s="1" t="n">
        <x:v>2</x:v>
      </x:c>
      <x:c r="H865" s="2" t="n">
        <x:v>700</x:v>
      </x:c>
      <x:c r="I865" s="3" t="n">
        <x:v>0</x:v>
      </x:c>
      <x:c r="J865" s="2" t="n">
        <x:v>300</x:v>
      </x:c>
      <x:c r="K865" s="2" t="n">
        <x:v>120</x:v>
      </x:c>
      <x:c r="L865" s="2" t="n">
        <x:f>G865*H865</x:f>
        <x:v>1400</x:v>
      </x:c>
      <x:c r="M865" s="2" t="n">
        <x:f>ROUND(L865*(1-I865),2)</x:f>
        <x:v>1400</x:v>
      </x:c>
      <x:c r="N865" s="2" t="n">
        <x:f>G865*J865</x:f>
        <x:v>600</x:v>
      </x:c>
      <x:c r="O865" s="2" t="n">
        <x:f>M865-N865-K865</x:f>
        <x:v>680</x:v>
      </x:c>
      <x:c r="P865" s="1" t="str">
        <x:f>TEXT(B865,"yyyy-mm")</x:f>
        <x:v>2025-12</x:v>
      </x:c>
    </x:row>
    <x:row r="866">
      <x:c r="A866" s="1" t="str">
        <x:v>ORD-0862</x:v>
      </x:c>
      <x:c r="B866" s="4" t="d">
        <x:v>2025-07-01T00:00:00.000Z</x:v>
      </x:c>
      <x:c r="C866" s="1" t="str">
        <x:v>C-220</x:v>
      </x:c>
      <x:c r="D866" s="1" t="str">
        <x:v>South</x:v>
      </x:c>
      <x:c r="E866" s="1" t="str">
        <x:v>Home</x:v>
      </x:c>
      <x:c r="F866" s="1" t="str">
        <x:v>Desk lamp</x:v>
      </x:c>
      <x:c r="G866" s="1" t="n">
        <x:v>2</x:v>
      </x:c>
      <x:c r="H866" s="2" t="n">
        <x:v>1100</x:v>
      </x:c>
      <x:c r="I866" s="3" t="n">
        <x:v>0.1</x:v>
      </x:c>
      <x:c r="J866" s="2" t="n">
        <x:v>650</x:v>
      </x:c>
      <x:c r="K866" s="2" t="n">
        <x:v>80</x:v>
      </x:c>
      <x:c r="L866" s="2" t="n">
        <x:f>G866*H866</x:f>
        <x:v>2200</x:v>
      </x:c>
      <x:c r="M866" s="2" t="n">
        <x:f>ROUND(L866*(1-I866),2)</x:f>
        <x:v>1980</x:v>
      </x:c>
      <x:c r="N866" s="2" t="n">
        <x:f>G866*J866</x:f>
        <x:v>1300</x:v>
      </x:c>
      <x:c r="O866" s="2" t="n">
        <x:f>M866-N866-K866</x:f>
        <x:v>600</x:v>
      </x:c>
      <x:c r="P866" s="1" t="str">
        <x:f>TEXT(B866,"yyyy-mm")</x:f>
        <x:v>2025-07</x:v>
      </x:c>
    </x:row>
    <x:row r="867">
      <x:c r="A867" s="1" t="str">
        <x:v>ORD-0863</x:v>
      </x:c>
      <x:c r="B867" s="4" t="d">
        <x:v>2025-07-31T00:00:00.000Z</x:v>
      </x:c>
      <x:c r="C867" s="1" t="str">
        <x:v>C-077</x:v>
      </x:c>
      <x:c r="D867" s="1" t="str">
        <x:v>North</x:v>
      </x:c>
      <x:c r="E867" s="1" t="str">
        <x:v>Fashion</x:v>
      </x:c>
      <x:c r="F867" s="1" t="str">
        <x:v>T-shirt</x:v>
      </x:c>
      <x:c r="G867" s="1" t="n">
        <x:v>4</x:v>
      </x:c>
      <x:c r="H867" s="2" t="n">
        <x:v>700</x:v>
      </x:c>
      <x:c r="I867" s="3" t="n">
        <x:v>0.25</x:v>
      </x:c>
      <x:c r="J867" s="2" t="n">
        <x:v>300</x:v>
      </x:c>
      <x:c r="K867" s="2" t="n">
        <x:v>50</x:v>
      </x:c>
      <x:c r="L867" s="2" t="n">
        <x:f>G867*H867</x:f>
        <x:v>2800</x:v>
      </x:c>
      <x:c r="M867" s="2" t="n">
        <x:f>ROUND(L867*(1-I867),2)</x:f>
        <x:v>2100</x:v>
      </x:c>
      <x:c r="N867" s="2" t="n">
        <x:f>G867*J867</x:f>
        <x:v>1200</x:v>
      </x:c>
      <x:c r="O867" s="2" t="n">
        <x:f>M867-N867-K867</x:f>
        <x:v>850</x:v>
      </x:c>
      <x:c r="P867" s="1" t="str">
        <x:f>TEXT(B867,"yyyy-mm")</x:f>
        <x:v>2025-07</x:v>
      </x:c>
    </x:row>
    <x:row r="868">
      <x:c r="A868" s="1" t="str">
        <x:v>ORD-0864</x:v>
      </x:c>
      <x:c r="B868" s="4" t="d">
        <x:v>2025-01-25T00:00:00.000Z</x:v>
      </x:c>
      <x:c r="C868" s="1" t="str">
        <x:v>C-259</x:v>
      </x:c>
      <x:c r="D868" s="1" t="str">
        <x:v>North</x:v>
      </x:c>
      <x:c r="E868" s="1" t="str">
        <x:v>Home</x:v>
      </x:c>
      <x:c r="F868" s="1" t="str">
        <x:v>Desk lamp</x:v>
      </x:c>
      <x:c r="G868" s="1" t="n">
        <x:v>4</x:v>
      </x:c>
      <x:c r="H868" s="2" t="n">
        <x:v>1100</x:v>
      </x:c>
      <x:c r="I868" s="3" t="n">
        <x:v>0.35</x:v>
      </x:c>
      <x:c r="J868" s="2" t="n">
        <x:v>650</x:v>
      </x:c>
      <x:c r="K868" s="2" t="n">
        <x:v>120</x:v>
      </x:c>
      <x:c r="L868" s="2" t="n">
        <x:f>G868*H868</x:f>
        <x:v>4400</x:v>
      </x:c>
      <x:c r="M868" s="2" t="n">
        <x:f>ROUND(L868*(1-I868),2)</x:f>
        <x:v>2860</x:v>
      </x:c>
      <x:c r="N868" s="2" t="n">
        <x:f>G868*J868</x:f>
        <x:v>2600</x:v>
      </x:c>
      <x:c r="O868" s="2" t="n">
        <x:f>M868-N868-K868</x:f>
        <x:v>140</x:v>
      </x:c>
      <x:c r="P868" s="1" t="str">
        <x:f>TEXT(B868,"yyyy-mm")</x:f>
        <x:v>2025-01</x:v>
      </x:c>
    </x:row>
    <x:row r="869">
      <x:c r="A869" s="1" t="str">
        <x:v>ORD-0865</x:v>
      </x:c>
      <x:c r="B869" s="4" t="d">
        <x:v>2025-06-16T00:00:00.000Z</x:v>
      </x:c>
      <x:c r="C869" s="1" t="str">
        <x:v>C-124</x:v>
      </x:c>
      <x:c r="D869" s="1" t="str">
        <x:v>North</x:v>
      </x:c>
      <x:c r="E869" s="1" t="str">
        <x:v>Electronics</x:v>
      </x:c>
      <x:c r="F869" s="1" t="str">
        <x:v>Keyboard</x:v>
      </x:c>
      <x:c r="G869" s="1" t="n">
        <x:v>1</x:v>
      </x:c>
      <x:c r="H869" s="2" t="n">
        <x:v>1500</x:v>
      </x:c>
      <x:c r="I869" s="3" t="n">
        <x:v>0.15</x:v>
      </x:c>
      <x:c r="J869" s="2" t="n">
        <x:v>900</x:v>
      </x:c>
      <x:c r="K869" s="2" t="n">
        <x:v>120</x:v>
      </x:c>
      <x:c r="L869" s="2" t="n">
        <x:f>G869*H869</x:f>
        <x:v>1500</x:v>
      </x:c>
      <x:c r="M869" s="2" t="n">
        <x:f>ROUND(L869*(1-I869),2)</x:f>
        <x:v>1275</x:v>
      </x:c>
      <x:c r="N869" s="2" t="n">
        <x:f>G869*J869</x:f>
        <x:v>900</x:v>
      </x:c>
      <x:c r="O869" s="2" t="n">
        <x:f>M869-N869-K869</x:f>
        <x:v>255</x:v>
      </x:c>
      <x:c r="P869" s="1" t="str">
        <x:f>TEXT(B869,"yyyy-mm")</x:f>
        <x:v>2025-06</x:v>
      </x:c>
    </x:row>
    <x:row r="870">
      <x:c r="A870" s="1" t="str">
        <x:v>ORD-0866</x:v>
      </x:c>
      <x:c r="B870" s="4" t="d">
        <x:v>2025-10-12T00:00:00.000Z</x:v>
      </x:c>
      <x:c r="C870" s="1" t="str">
        <x:v>C-152</x:v>
      </x:c>
      <x:c r="D870" s="1" t="str">
        <x:v>South</x:v>
      </x:c>
      <x:c r="E870" s="1" t="str">
        <x:v>Fashion</x:v>
      </x:c>
      <x:c r="F870" s="1" t="str">
        <x:v>T-shirt</x:v>
      </x:c>
      <x:c r="G870" s="1" t="n">
        <x:v>1</x:v>
      </x:c>
      <x:c r="H870" s="2" t="n">
        <x:v>700</x:v>
      </x:c>
      <x:c r="I870" s="3" t="n">
        <x:v>0.05</x:v>
      </x:c>
      <x:c r="J870" s="2" t="n">
        <x:v>300</x:v>
      </x:c>
      <x:c r="K870" s="2" t="n">
        <x:v>50</x:v>
      </x:c>
      <x:c r="L870" s="2" t="n">
        <x:f>G870*H870</x:f>
        <x:v>700</x:v>
      </x:c>
      <x:c r="M870" s="2" t="n">
        <x:f>ROUND(L870*(1-I870),2)</x:f>
        <x:v>665</x:v>
      </x:c>
      <x:c r="N870" s="2" t="n">
        <x:f>G870*J870</x:f>
        <x:v>300</x:v>
      </x:c>
      <x:c r="O870" s="2" t="n">
        <x:f>M870-N870-K870</x:f>
        <x:v>315</x:v>
      </x:c>
      <x:c r="P870" s="1" t="str">
        <x:f>TEXT(B870,"yyyy-mm")</x:f>
        <x:v>2025-10</x:v>
      </x:c>
    </x:row>
    <x:row r="871">
      <x:c r="A871" s="1" t="str">
        <x:v>ORD-0867</x:v>
      </x:c>
      <x:c r="B871" s="4" t="d">
        <x:v>2025-07-23T00:00:00.000Z</x:v>
      </x:c>
      <x:c r="C871" s="1" t="str">
        <x:v>C-236</x:v>
      </x:c>
      <x:c r="D871" s="1" t="str">
        <x:v>North</x:v>
      </x:c>
      <x:c r="E871" s="1" t="str">
        <x:v>Fashion</x:v>
      </x:c>
      <x:c r="F871" s="1" t="str">
        <x:v>Sneakers</x:v>
      </x:c>
      <x:c r="G871" s="1" t="n">
        <x:v>4</x:v>
      </x:c>
      <x:c r="H871" s="2" t="n">
        <x:v>2400</x:v>
      </x:c>
      <x:c r="I871" s="3" t="n">
        <x:v>0.05</x:v>
      </x:c>
      <x:c r="J871" s="2" t="n">
        <x:v>1200</x:v>
      </x:c>
      <x:c r="K871" s="2" t="n">
        <x:v>80</x:v>
      </x:c>
      <x:c r="L871" s="2" t="n">
        <x:f>G871*H871</x:f>
        <x:v>9600</x:v>
      </x:c>
      <x:c r="M871" s="2" t="n">
        <x:f>ROUND(L871*(1-I871),2)</x:f>
        <x:v>9120</x:v>
      </x:c>
      <x:c r="N871" s="2" t="n">
        <x:f>G871*J871</x:f>
        <x:v>4800</x:v>
      </x:c>
      <x:c r="O871" s="2" t="n">
        <x:f>M871-N871-K871</x:f>
        <x:v>4240</x:v>
      </x:c>
      <x:c r="P871" s="1" t="str">
        <x:f>TEXT(B871,"yyyy-mm")</x:f>
        <x:v>2025-07</x:v>
      </x:c>
    </x:row>
    <x:row r="872">
      <x:c r="A872" s="1" t="str">
        <x:v>ORD-0868</x:v>
      </x:c>
      <x:c r="B872" s="4" t="d">
        <x:v>2025-11-26T00:00:00.000Z</x:v>
      </x:c>
      <x:c r="C872" s="1" t="str">
        <x:v>C-190</x:v>
      </x:c>
      <x:c r="D872" s="1" t="str">
        <x:v>West</x:v>
      </x:c>
      <x:c r="E872" s="1" t="str">
        <x:v>Home</x:v>
      </x:c>
      <x:c r="F872" s="1" t="str">
        <x:v>Office chair</x:v>
      </x:c>
      <x:c r="G872" s="1" t="n">
        <x:v>1</x:v>
      </x:c>
      <x:c r="H872" s="2" t="n">
        <x:v>5500</x:v>
      </x:c>
      <x:c r="I872" s="3" t="n">
        <x:v>0.05</x:v>
      </x:c>
      <x:c r="J872" s="2" t="n">
        <x:v>4400</x:v>
      </x:c>
      <x:c r="K872" s="2" t="n">
        <x:v>120</x:v>
      </x:c>
      <x:c r="L872" s="2" t="n">
        <x:f>G872*H872</x:f>
        <x:v>5500</x:v>
      </x:c>
      <x:c r="M872" s="2" t="n">
        <x:f>ROUND(L872*(1-I872),2)</x:f>
        <x:v>5225</x:v>
      </x:c>
      <x:c r="N872" s="2" t="n">
        <x:f>G872*J872</x:f>
        <x:v>4400</x:v>
      </x:c>
      <x:c r="O872" s="2" t="n">
        <x:f>M872-N872-K872</x:f>
        <x:v>705</x:v>
      </x:c>
      <x:c r="P872" s="1" t="str">
        <x:f>TEXT(B872,"yyyy-mm")</x:f>
        <x:v>2025-11</x:v>
      </x:c>
    </x:row>
    <x:row r="873">
      <x:c r="A873" s="1" t="str">
        <x:v>ORD-0869</x:v>
      </x:c>
      <x:c r="B873" s="4" t="d">
        <x:v>2025-02-02T00:00:00.000Z</x:v>
      </x:c>
      <x:c r="C873" s="1" t="str">
        <x:v>C-152</x:v>
      </x:c>
      <x:c r="D873" s="1" t="str">
        <x:v>West</x:v>
      </x:c>
      <x:c r="E873" s="1" t="str">
        <x:v>Fashion</x:v>
      </x:c>
      <x:c r="F873" s="1" t="str">
        <x:v>Backpack</x:v>
      </x:c>
      <x:c r="G873" s="1" t="n">
        <x:v>3</x:v>
      </x:c>
      <x:c r="H873" s="2" t="n">
        <x:v>1300</x:v>
      </x:c>
      <x:c r="I873" s="3" t="n">
        <x:v>0.25</x:v>
      </x:c>
      <x:c r="J873" s="2" t="n">
        <x:v>650</x:v>
      </x:c>
      <x:c r="K873" s="2" t="n">
        <x:v>120</x:v>
      </x:c>
      <x:c r="L873" s="2" t="n">
        <x:f>G873*H873</x:f>
        <x:v>3900</x:v>
      </x:c>
      <x:c r="M873" s="2" t="n">
        <x:f>ROUND(L873*(1-I873),2)</x:f>
        <x:v>2925</x:v>
      </x:c>
      <x:c r="N873" s="2" t="n">
        <x:f>G873*J873</x:f>
        <x:v>1950</x:v>
      </x:c>
      <x:c r="O873" s="2" t="n">
        <x:f>M873-N873-K873</x:f>
        <x:v>855</x:v>
      </x:c>
      <x:c r="P873" s="1" t="str">
        <x:f>TEXT(B873,"yyyy-mm")</x:f>
        <x:v>2025-02</x:v>
      </x:c>
    </x:row>
    <x:row r="874">
      <x:c r="A874" s="1" t="str">
        <x:v>ORD-0870</x:v>
      </x:c>
      <x:c r="B874" s="4" t="d">
        <x:v>2025-12-26T00:00:00.000Z</x:v>
      </x:c>
      <x:c r="C874" s="1" t="str">
        <x:v>C-107</x:v>
      </x:c>
      <x:c r="D874" s="1" t="str">
        <x:v>North</x:v>
      </x:c>
      <x:c r="E874" s="1" t="str">
        <x:v>Home</x:v>
      </x:c>
      <x:c r="F874" s="1" t="str">
        <x:v>Storage box</x:v>
      </x:c>
      <x:c r="G874" s="1" t="n">
        <x:v>3</x:v>
      </x:c>
      <x:c r="H874" s="2" t="n">
        <x:v>800</x:v>
      </x:c>
      <x:c r="I874" s="3" t="n">
        <x:v>0.25</x:v>
      </x:c>
      <x:c r="J874" s="2" t="n">
        <x:v>420</x:v>
      </x:c>
      <x:c r="K874" s="2" t="n">
        <x:v>120</x:v>
      </x:c>
      <x:c r="L874" s="2" t="n">
        <x:f>G874*H874</x:f>
        <x:v>2400</x:v>
      </x:c>
      <x:c r="M874" s="2" t="n">
        <x:f>ROUND(L874*(1-I874),2)</x:f>
        <x:v>1800</x:v>
      </x:c>
      <x:c r="N874" s="2" t="n">
        <x:f>G874*J874</x:f>
        <x:v>1260</x:v>
      </x:c>
      <x:c r="O874" s="2" t="n">
        <x:f>M874-N874-K874</x:f>
        <x:v>420</x:v>
      </x:c>
      <x:c r="P874" s="1" t="str">
        <x:f>TEXT(B874,"yyyy-mm")</x:f>
        <x:v>2025-12</x:v>
      </x:c>
    </x:row>
    <x:row r="875">
      <x:c r="A875" s="1" t="str">
        <x:v>ORD-0871</x:v>
      </x:c>
      <x:c r="B875" s="4" t="d">
        <x:v>2025-12-12T00:00:00.000Z</x:v>
      </x:c>
      <x:c r="C875" s="1" t="str">
        <x:v>C-027</x:v>
      </x:c>
      <x:c r="D875" s="1" t="str">
        <x:v>North</x:v>
      </x:c>
      <x:c r="E875" s="1" t="str">
        <x:v>Home</x:v>
      </x:c>
      <x:c r="F875" s="1" t="str">
        <x:v>Storage box</x:v>
      </x:c>
      <x:c r="G875" s="1" t="n">
        <x:v>4</x:v>
      </x:c>
      <x:c r="H875" s="2" t="n">
        <x:v>800</x:v>
      </x:c>
      <x:c r="I875" s="3" t="n">
        <x:v>0.35</x:v>
      </x:c>
      <x:c r="J875" s="2" t="n">
        <x:v>420</x:v>
      </x:c>
      <x:c r="K875" s="2" t="n">
        <x:v>80</x:v>
      </x:c>
      <x:c r="L875" s="2" t="n">
        <x:f>G875*H875</x:f>
        <x:v>3200</x:v>
      </x:c>
      <x:c r="M875" s="2" t="n">
        <x:f>ROUND(L875*(1-I875),2)</x:f>
        <x:v>2080</x:v>
      </x:c>
      <x:c r="N875" s="2" t="n">
        <x:f>G875*J875</x:f>
        <x:v>1680</x:v>
      </x:c>
      <x:c r="O875" s="2" t="n">
        <x:f>M875-N875-K875</x:f>
        <x:v>320</x:v>
      </x:c>
      <x:c r="P875" s="1" t="str">
        <x:f>TEXT(B875,"yyyy-mm")</x:f>
        <x:v>2025-12</x:v>
      </x:c>
    </x:row>
    <x:row r="876">
      <x:c r="A876" s="1" t="str">
        <x:v>ORD-0872</x:v>
      </x:c>
      <x:c r="B876" s="4" t="d">
        <x:v>2025-07-12T00:00:00.000Z</x:v>
      </x:c>
      <x:c r="C876" s="1" t="str">
        <x:v>C-090</x:v>
      </x:c>
      <x:c r="D876" s="1" t="str">
        <x:v>North</x:v>
      </x:c>
      <x:c r="E876" s="1" t="str">
        <x:v>Electronics</x:v>
      </x:c>
      <x:c r="F876" s="1" t="str">
        <x:v>Headphones</x:v>
      </x:c>
      <x:c r="G876" s="1" t="n">
        <x:v>2</x:v>
      </x:c>
      <x:c r="H876" s="2" t="n">
        <x:v>2200</x:v>
      </x:c>
      <x:c r="I876" s="3" t="n">
        <x:v>0.1</x:v>
      </x:c>
      <x:c r="J876" s="2" t="n">
        <x:v>1450</x:v>
      </x:c>
      <x:c r="K876" s="2" t="n">
        <x:v>50</x:v>
      </x:c>
      <x:c r="L876" s="2" t="n">
        <x:f>G876*H876</x:f>
        <x:v>4400</x:v>
      </x:c>
      <x:c r="M876" s="2" t="n">
        <x:f>ROUND(L876*(1-I876),2)</x:f>
        <x:v>3960</x:v>
      </x:c>
      <x:c r="N876" s="2" t="n">
        <x:f>G876*J876</x:f>
        <x:v>2900</x:v>
      </x:c>
      <x:c r="O876" s="2" t="n">
        <x:f>M876-N876-K876</x:f>
        <x:v>1010</x:v>
      </x:c>
      <x:c r="P876" s="1" t="str">
        <x:f>TEXT(B876,"yyyy-mm")</x:f>
        <x:v>2025-07</x:v>
      </x:c>
    </x:row>
    <x:row r="877">
      <x:c r="A877" s="1" t="str">
        <x:v>ORD-0873</x:v>
      </x:c>
      <x:c r="B877" s="4" t="d">
        <x:v>2025-12-04T00:00:00.000Z</x:v>
      </x:c>
      <x:c r="C877" s="1" t="str">
        <x:v>C-245</x:v>
      </x:c>
      <x:c r="D877" s="1" t="str">
        <x:v>South</x:v>
      </x:c>
      <x:c r="E877" s="1" t="str">
        <x:v>Fashion</x:v>
      </x:c>
      <x:c r="F877" s="1" t="str">
        <x:v>T-shirt</x:v>
      </x:c>
      <x:c r="G877" s="1" t="n">
        <x:v>2</x:v>
      </x:c>
      <x:c r="H877" s="2" t="n">
        <x:v>700</x:v>
      </x:c>
      <x:c r="I877" s="3" t="n">
        <x:v>0.25</x:v>
      </x:c>
      <x:c r="J877" s="2" t="n">
        <x:v>300</x:v>
      </x:c>
      <x:c r="K877" s="2" t="n">
        <x:v>80</x:v>
      </x:c>
      <x:c r="L877" s="2" t="n">
        <x:f>G877*H877</x:f>
        <x:v>1400</x:v>
      </x:c>
      <x:c r="M877" s="2" t="n">
        <x:f>ROUND(L877*(1-I877),2)</x:f>
        <x:v>1050</x:v>
      </x:c>
      <x:c r="N877" s="2" t="n">
        <x:f>G877*J877</x:f>
        <x:v>600</x:v>
      </x:c>
      <x:c r="O877" s="2" t="n">
        <x:f>M877-N877-K877</x:f>
        <x:v>370</x:v>
      </x:c>
      <x:c r="P877" s="1" t="str">
        <x:f>TEXT(B877,"yyyy-mm")</x:f>
        <x:v>2025-12</x:v>
      </x:c>
    </x:row>
    <x:row r="878">
      <x:c r="A878" s="1" t="str">
        <x:v>ORD-0874</x:v>
      </x:c>
      <x:c r="B878" s="4" t="d">
        <x:v>2025-06-22T00:00:00.000Z</x:v>
      </x:c>
      <x:c r="C878" s="1" t="str">
        <x:v>C-217</x:v>
      </x:c>
      <x:c r="D878" s="1" t="str">
        <x:v>East</x:v>
      </x:c>
      <x:c r="E878" s="1" t="str">
        <x:v>Fashion</x:v>
      </x:c>
      <x:c r="F878" s="1" t="str">
        <x:v>Sneakers</x:v>
      </x:c>
      <x:c r="G878" s="1" t="n">
        <x:v>1</x:v>
      </x:c>
      <x:c r="H878" s="2" t="n">
        <x:v>2400</x:v>
      </x:c>
      <x:c r="I878" s="3" t="n">
        <x:v>0.25</x:v>
      </x:c>
      <x:c r="J878" s="2" t="n">
        <x:v>1200</x:v>
      </x:c>
      <x:c r="K878" s="2" t="n">
        <x:v>50</x:v>
      </x:c>
      <x:c r="L878" s="2" t="n">
        <x:f>G878*H878</x:f>
        <x:v>2400</x:v>
      </x:c>
      <x:c r="M878" s="2" t="n">
        <x:f>ROUND(L878*(1-I878),2)</x:f>
        <x:v>1800</x:v>
      </x:c>
      <x:c r="N878" s="2" t="n">
        <x:f>G878*J878</x:f>
        <x:v>1200</x:v>
      </x:c>
      <x:c r="O878" s="2" t="n">
        <x:f>M878-N878-K878</x:f>
        <x:v>550</x:v>
      </x:c>
      <x:c r="P878" s="1" t="str">
        <x:f>TEXT(B878,"yyyy-mm")</x:f>
        <x:v>2025-06</x:v>
      </x:c>
    </x:row>
    <x:row r="879">
      <x:c r="A879" s="1" t="str">
        <x:v>ORD-0875</x:v>
      </x:c>
      <x:c r="B879" s="4" t="d">
        <x:v>2025-06-17T00:00:00.000Z</x:v>
      </x:c>
      <x:c r="C879" s="1" t="str">
        <x:v>C-270</x:v>
      </x:c>
      <x:c r="D879" s="1" t="str">
        <x:v>North</x:v>
      </x:c>
      <x:c r="E879" s="1" t="str">
        <x:v>Home</x:v>
      </x:c>
      <x:c r="F879" s="1" t="str">
        <x:v>Desk lamp</x:v>
      </x:c>
      <x:c r="G879" s="1" t="n">
        <x:v>4</x:v>
      </x:c>
      <x:c r="H879" s="2" t="n">
        <x:v>1100</x:v>
      </x:c>
      <x:c r="I879" s="3" t="n">
        <x:v>0.15</x:v>
      </x:c>
      <x:c r="J879" s="2" t="n">
        <x:v>650</x:v>
      </x:c>
      <x:c r="K879" s="2" t="n">
        <x:v>120</x:v>
      </x:c>
      <x:c r="L879" s="2" t="n">
        <x:f>G879*H879</x:f>
        <x:v>4400</x:v>
      </x:c>
      <x:c r="M879" s="2" t="n">
        <x:f>ROUND(L879*(1-I879),2)</x:f>
        <x:v>3740</x:v>
      </x:c>
      <x:c r="N879" s="2" t="n">
        <x:f>G879*J879</x:f>
        <x:v>2600</x:v>
      </x:c>
      <x:c r="O879" s="2" t="n">
        <x:f>M879-N879-K879</x:f>
        <x:v>1020</x:v>
      </x:c>
      <x:c r="P879" s="1" t="str">
        <x:f>TEXT(B879,"yyyy-mm")</x:f>
        <x:v>2025-06</x:v>
      </x:c>
    </x:row>
    <x:row r="880">
      <x:c r="A880" s="1" t="str">
        <x:v>ORD-0876</x:v>
      </x:c>
      <x:c r="B880" s="4" t="d">
        <x:v>2025-08-15T00:00:00.000Z</x:v>
      </x:c>
      <x:c r="C880" s="1" t="str">
        <x:v>C-189</x:v>
      </x:c>
      <x:c r="D880" s="1" t="str">
        <x:v>North</x:v>
      </x:c>
      <x:c r="E880" s="1" t="str">
        <x:v>Home</x:v>
      </x:c>
      <x:c r="F880" s="1" t="str">
        <x:v>Storage box</x:v>
      </x:c>
      <x:c r="G880" s="1" t="n">
        <x:v>2</x:v>
      </x:c>
      <x:c r="H880" s="2" t="n">
        <x:v>800</x:v>
      </x:c>
      <x:c r="I880" s="3" t="n">
        <x:v>0.1</x:v>
      </x:c>
      <x:c r="J880" s="2" t="n">
        <x:v>420</x:v>
      </x:c>
      <x:c r="K880" s="2" t="n">
        <x:v>80</x:v>
      </x:c>
      <x:c r="L880" s="2" t="n">
        <x:f>G880*H880</x:f>
        <x:v>1600</x:v>
      </x:c>
      <x:c r="M880" s="2" t="n">
        <x:f>ROUND(L880*(1-I880),2)</x:f>
        <x:v>1440</x:v>
      </x:c>
      <x:c r="N880" s="2" t="n">
        <x:f>G880*J880</x:f>
        <x:v>840</x:v>
      </x:c>
      <x:c r="O880" s="2" t="n">
        <x:f>M880-N880-K880</x:f>
        <x:v>520</x:v>
      </x:c>
      <x:c r="P880" s="1" t="str">
        <x:f>TEXT(B880,"yyyy-mm")</x:f>
        <x:v>2025-08</x:v>
      </x:c>
    </x:row>
    <x:row r="881">
      <x:c r="A881" s="1" t="str">
        <x:v>ORD-0877</x:v>
      </x:c>
      <x:c r="B881" s="4" t="d">
        <x:v>2025-02-10T00:00:00.000Z</x:v>
      </x:c>
      <x:c r="C881" s="1" t="str">
        <x:v>C-040</x:v>
      </x:c>
      <x:c r="D881" s="1" t="str">
        <x:v>North</x:v>
      </x:c>
      <x:c r="E881" s="1" t="str">
        <x:v>Home</x:v>
      </x:c>
      <x:c r="F881" s="1" t="str">
        <x:v>Office chair</x:v>
      </x:c>
      <x:c r="G881" s="1" t="n">
        <x:v>2</x:v>
      </x:c>
      <x:c r="H881" s="2" t="n">
        <x:v>5500</x:v>
      </x:c>
      <x:c r="I881" s="3" t="n">
        <x:v>0.05</x:v>
      </x:c>
      <x:c r="J881" s="2" t="n">
        <x:v>4400</x:v>
      </x:c>
      <x:c r="K881" s="2" t="n">
        <x:v>80</x:v>
      </x:c>
      <x:c r="L881" s="2" t="n">
        <x:f>G881*H881</x:f>
        <x:v>11000</x:v>
      </x:c>
      <x:c r="M881" s="2" t="n">
        <x:f>ROUND(L881*(1-I881),2)</x:f>
        <x:v>10450</x:v>
      </x:c>
      <x:c r="N881" s="2" t="n">
        <x:f>G881*J881</x:f>
        <x:v>8800</x:v>
      </x:c>
      <x:c r="O881" s="2" t="n">
        <x:f>M881-N881-K881</x:f>
        <x:v>1570</x:v>
      </x:c>
      <x:c r="P881" s="1" t="str">
        <x:f>TEXT(B881,"yyyy-mm")</x:f>
        <x:v>2025-02</x:v>
      </x:c>
    </x:row>
    <x:row r="882">
      <x:c r="A882" s="1" t="str">
        <x:v>ORD-0878</x:v>
      </x:c>
      <x:c r="B882" s="4" t="d">
        <x:v>2025-02-05T00:00:00.000Z</x:v>
      </x:c>
      <x:c r="C882" s="1" t="str">
        <x:v>C-105</x:v>
      </x:c>
      <x:c r="D882" s="1" t="str">
        <x:v>North</x:v>
      </x:c>
      <x:c r="E882" s="1" t="str">
        <x:v>Electronics</x:v>
      </x:c>
      <x:c r="F882" s="1" t="str">
        <x:v>Smartwatch</x:v>
      </x:c>
      <x:c r="G882" s="1" t="n">
        <x:v>3</x:v>
      </x:c>
      <x:c r="H882" s="2" t="n">
        <x:v>4200</x:v>
      </x:c>
      <x:c r="I882" s="3" t="n">
        <x:v>0.15</x:v>
      </x:c>
      <x:c r="J882" s="2" t="n">
        <x:v>3000</x:v>
      </x:c>
      <x:c r="K882" s="2" t="n">
        <x:v>80</x:v>
      </x:c>
      <x:c r="L882" s="2" t="n">
        <x:f>G882*H882</x:f>
        <x:v>12600</x:v>
      </x:c>
      <x:c r="M882" s="2" t="n">
        <x:f>ROUND(L882*(1-I882),2)</x:f>
        <x:v>10710</x:v>
      </x:c>
      <x:c r="N882" s="2" t="n">
        <x:f>G882*J882</x:f>
        <x:v>9000</x:v>
      </x:c>
      <x:c r="O882" s="2" t="n">
        <x:f>M882-N882-K882</x:f>
        <x:v>1630</x:v>
      </x:c>
      <x:c r="P882" s="1" t="str">
        <x:f>TEXT(B882,"yyyy-mm")</x:f>
        <x:v>2025-02</x:v>
      </x:c>
    </x:row>
    <x:row r="883">
      <x:c r="A883" s="1" t="str">
        <x:v>ORD-0879</x:v>
      </x:c>
      <x:c r="B883" s="4" t="d">
        <x:v>2025-12-16T00:00:00.000Z</x:v>
      </x:c>
      <x:c r="C883" s="1" t="str">
        <x:v>C-178</x:v>
      </x:c>
      <x:c r="D883" s="1" t="str">
        <x:v>West</x:v>
      </x:c>
      <x:c r="E883" s="1" t="str">
        <x:v>Home</x:v>
      </x:c>
      <x:c r="F883" s="1" t="str">
        <x:v>Storage box</x:v>
      </x:c>
      <x:c r="G883" s="1" t="n">
        <x:v>4</x:v>
      </x:c>
      <x:c r="H883" s="2" t="n">
        <x:v>800</x:v>
      </x:c>
      <x:c r="I883" s="3" t="n">
        <x:v>0.05</x:v>
      </x:c>
      <x:c r="J883" s="2" t="n">
        <x:v>420</x:v>
      </x:c>
      <x:c r="K883" s="2" t="n">
        <x:v>120</x:v>
      </x:c>
      <x:c r="L883" s="2" t="n">
        <x:f>G883*H883</x:f>
        <x:v>3200</x:v>
      </x:c>
      <x:c r="M883" s="2" t="n">
        <x:f>ROUND(L883*(1-I883),2)</x:f>
        <x:v>3040</x:v>
      </x:c>
      <x:c r="N883" s="2" t="n">
        <x:f>G883*J883</x:f>
        <x:v>1680</x:v>
      </x:c>
      <x:c r="O883" s="2" t="n">
        <x:f>M883-N883-K883</x:f>
        <x:v>1240</x:v>
      </x:c>
      <x:c r="P883" s="1" t="str">
        <x:f>TEXT(B883,"yyyy-mm")</x:f>
        <x:v>2025-12</x:v>
      </x:c>
    </x:row>
    <x:row r="884">
      <x:c r="A884" s="1" t="str">
        <x:v>ORD-0880</x:v>
      </x:c>
      <x:c r="B884" s="4" t="d">
        <x:v>2025-09-03T00:00:00.000Z</x:v>
      </x:c>
      <x:c r="C884" s="1" t="str">
        <x:v>C-012</x:v>
      </x:c>
      <x:c r="D884" s="1" t="str">
        <x:v>South</x:v>
      </x:c>
      <x:c r="E884" s="1" t="str">
        <x:v>Fashion</x:v>
      </x:c>
      <x:c r="F884" s="1" t="str">
        <x:v>Sneakers</x:v>
      </x:c>
      <x:c r="G884" s="1" t="n">
        <x:v>3</x:v>
      </x:c>
      <x:c r="H884" s="2" t="n">
        <x:v>2400</x:v>
      </x:c>
      <x:c r="I884" s="3" t="n">
        <x:v>0.05</x:v>
      </x:c>
      <x:c r="J884" s="2" t="n">
        <x:v>1200</x:v>
      </x:c>
      <x:c r="K884" s="2" t="n">
        <x:v>80</x:v>
      </x:c>
      <x:c r="L884" s="2" t="n">
        <x:f>G884*H884</x:f>
        <x:v>7200</x:v>
      </x:c>
      <x:c r="M884" s="2" t="n">
        <x:f>ROUND(L884*(1-I884),2)</x:f>
        <x:v>6840</x:v>
      </x:c>
      <x:c r="N884" s="2" t="n">
        <x:f>G884*J884</x:f>
        <x:v>3600</x:v>
      </x:c>
      <x:c r="O884" s="2" t="n">
        <x:f>M884-N884-K884</x:f>
        <x:v>3160</x:v>
      </x:c>
      <x:c r="P884" s="1" t="str">
        <x:f>TEXT(B884,"yyyy-mm")</x:f>
        <x:v>2025-09</x:v>
      </x:c>
    </x:row>
    <x:row r="885">
      <x:c r="A885" s="1" t="str">
        <x:v>ORD-0881</x:v>
      </x:c>
      <x:c r="B885" s="4" t="d">
        <x:v>2025-09-19T00:00:00.000Z</x:v>
      </x:c>
      <x:c r="C885" s="1" t="str">
        <x:v>C-272</x:v>
      </x:c>
      <x:c r="D885" s="1" t="str">
        <x:v>West</x:v>
      </x:c>
      <x:c r="E885" s="1" t="str">
        <x:v>Fashion</x:v>
      </x:c>
      <x:c r="F885" s="1" t="str">
        <x:v>Backpack</x:v>
      </x:c>
      <x:c r="G885" s="1" t="n">
        <x:v>4</x:v>
      </x:c>
      <x:c r="H885" s="2" t="n">
        <x:v>1300</x:v>
      </x:c>
      <x:c r="I885" s="3" t="n">
        <x:v>0.15</x:v>
      </x:c>
      <x:c r="J885" s="2" t="n">
        <x:v>650</x:v>
      </x:c>
      <x:c r="K885" s="2" t="n">
        <x:v>80</x:v>
      </x:c>
      <x:c r="L885" s="2" t="n">
        <x:f>G885*H885</x:f>
        <x:v>5200</x:v>
      </x:c>
      <x:c r="M885" s="2" t="n">
        <x:f>ROUND(L885*(1-I885),2)</x:f>
        <x:v>4420</x:v>
      </x:c>
      <x:c r="N885" s="2" t="n">
        <x:f>G885*J885</x:f>
        <x:v>2600</x:v>
      </x:c>
      <x:c r="O885" s="2" t="n">
        <x:f>M885-N885-K885</x:f>
        <x:v>1740</x:v>
      </x:c>
      <x:c r="P885" s="1" t="str">
        <x:f>TEXT(B885,"yyyy-mm")</x:f>
        <x:v>2025-09</x:v>
      </x:c>
    </x:row>
    <x:row r="886">
      <x:c r="A886" s="1" t="str">
        <x:v>ORD-0882</x:v>
      </x:c>
      <x:c r="B886" s="4" t="d">
        <x:v>2025-08-26T00:00:00.000Z</x:v>
      </x:c>
      <x:c r="C886" s="1" t="str">
        <x:v>C-134</x:v>
      </x:c>
      <x:c r="D886" s="1" t="str">
        <x:v>South</x:v>
      </x:c>
      <x:c r="E886" s="1" t="str">
        <x:v>Fashion</x:v>
      </x:c>
      <x:c r="F886" s="1" t="str">
        <x:v>Sneakers</x:v>
      </x:c>
      <x:c r="G886" s="1" t="n">
        <x:v>4</x:v>
      </x:c>
      <x:c r="H886" s="2" t="n">
        <x:v>2400</x:v>
      </x:c>
      <x:c r="I886" s="3" t="n">
        <x:v>0.05</x:v>
      </x:c>
      <x:c r="J886" s="2" t="n">
        <x:v>1200</x:v>
      </x:c>
      <x:c r="K886" s="2" t="n">
        <x:v>80</x:v>
      </x:c>
      <x:c r="L886" s="2" t="n">
        <x:f>G886*H886</x:f>
        <x:v>9600</x:v>
      </x:c>
      <x:c r="M886" s="2" t="n">
        <x:f>ROUND(L886*(1-I886),2)</x:f>
        <x:v>9120</x:v>
      </x:c>
      <x:c r="N886" s="2" t="n">
        <x:f>G886*J886</x:f>
        <x:v>4800</x:v>
      </x:c>
      <x:c r="O886" s="2" t="n">
        <x:f>M886-N886-K886</x:f>
        <x:v>4240</x:v>
      </x:c>
      <x:c r="P886" s="1" t="str">
        <x:f>TEXT(B886,"yyyy-mm")</x:f>
        <x:v>2025-08</x:v>
      </x:c>
    </x:row>
    <x:row r="887">
      <x:c r="A887" s="1" t="str">
        <x:v>ORD-0883</x:v>
      </x:c>
      <x:c r="B887" s="4" t="d">
        <x:v>2025-12-12T00:00:00.000Z</x:v>
      </x:c>
      <x:c r="C887" s="1" t="str">
        <x:v>C-146</x:v>
      </x:c>
      <x:c r="D887" s="1" t="str">
        <x:v>West</x:v>
      </x:c>
      <x:c r="E887" s="1" t="str">
        <x:v>Electronics</x:v>
      </x:c>
      <x:c r="F887" s="1" t="str">
        <x:v>Headphones</x:v>
      </x:c>
      <x:c r="G887" s="1" t="n">
        <x:v>2</x:v>
      </x:c>
      <x:c r="H887" s="2" t="n">
        <x:v>2200</x:v>
      </x:c>
      <x:c r="I887" s="3" t="n">
        <x:v>0.05</x:v>
      </x:c>
      <x:c r="J887" s="2" t="n">
        <x:v>1450</x:v>
      </x:c>
      <x:c r="K887" s="2" t="n">
        <x:v>120</x:v>
      </x:c>
      <x:c r="L887" s="2" t="n">
        <x:f>G887*H887</x:f>
        <x:v>4400</x:v>
      </x:c>
      <x:c r="M887" s="2" t="n">
        <x:f>ROUND(L887*(1-I887),2)</x:f>
        <x:v>4180</x:v>
      </x:c>
      <x:c r="N887" s="2" t="n">
        <x:f>G887*J887</x:f>
        <x:v>2900</x:v>
      </x:c>
      <x:c r="O887" s="2" t="n">
        <x:f>M887-N887-K887</x:f>
        <x:v>1160</x:v>
      </x:c>
      <x:c r="P887" s="1" t="str">
        <x:f>TEXT(B887,"yyyy-mm")</x:f>
        <x:v>2025-12</x:v>
      </x:c>
    </x:row>
    <x:row r="888">
      <x:c r="A888" s="1" t="str">
        <x:v>ORD-0884</x:v>
      </x:c>
      <x:c r="B888" s="4" t="d">
        <x:v>2025-12-06T00:00:00.000Z</x:v>
      </x:c>
      <x:c r="C888" s="1" t="str">
        <x:v>C-090</x:v>
      </x:c>
      <x:c r="D888" s="1" t="str">
        <x:v>South</x:v>
      </x:c>
      <x:c r="E888" s="1" t="str">
        <x:v>Home</x:v>
      </x:c>
      <x:c r="F888" s="1" t="str">
        <x:v>Storage box</x:v>
      </x:c>
      <x:c r="G888" s="1" t="n">
        <x:v>2</x:v>
      </x:c>
      <x:c r="H888" s="2" t="n">
        <x:v>800</x:v>
      </x:c>
      <x:c r="I888" s="3" t="n">
        <x:v>0.1</x:v>
      </x:c>
      <x:c r="J888" s="2" t="n">
        <x:v>420</x:v>
      </x:c>
      <x:c r="K888" s="2" t="n">
        <x:v>50</x:v>
      </x:c>
      <x:c r="L888" s="2" t="n">
        <x:f>G888*H888</x:f>
        <x:v>1600</x:v>
      </x:c>
      <x:c r="M888" s="2" t="n">
        <x:f>ROUND(L888*(1-I888),2)</x:f>
        <x:v>1440</x:v>
      </x:c>
      <x:c r="N888" s="2" t="n">
        <x:f>G888*J888</x:f>
        <x:v>840</x:v>
      </x:c>
      <x:c r="O888" s="2" t="n">
        <x:f>M888-N888-K888</x:f>
        <x:v>550</x:v>
      </x:c>
      <x:c r="P888" s="1" t="str">
        <x:f>TEXT(B888,"yyyy-mm")</x:f>
        <x:v>2025-12</x:v>
      </x:c>
    </x:row>
    <x:row r="889">
      <x:c r="A889" s="1" t="str">
        <x:v>ORD-0885</x:v>
      </x:c>
      <x:c r="B889" s="4" t="d">
        <x:v>2025-02-05T00:00:00.000Z</x:v>
      </x:c>
      <x:c r="C889" s="1" t="str">
        <x:v>C-226</x:v>
      </x:c>
      <x:c r="D889" s="1" t="str">
        <x:v>East</x:v>
      </x:c>
      <x:c r="E889" s="1" t="str">
        <x:v>Fashion</x:v>
      </x:c>
      <x:c r="F889" s="1" t="str">
        <x:v>Backpack</x:v>
      </x:c>
      <x:c r="G889" s="1" t="n">
        <x:v>3</x:v>
      </x:c>
      <x:c r="H889" s="2" t="n">
        <x:v>1300</x:v>
      </x:c>
      <x:c r="I889" s="3" t="n">
        <x:v>0.25</x:v>
      </x:c>
      <x:c r="J889" s="2" t="n">
        <x:v>650</x:v>
      </x:c>
      <x:c r="K889" s="2" t="n">
        <x:v>50</x:v>
      </x:c>
      <x:c r="L889" s="2" t="n">
        <x:f>G889*H889</x:f>
        <x:v>3900</x:v>
      </x:c>
      <x:c r="M889" s="2" t="n">
        <x:f>ROUND(L889*(1-I889),2)</x:f>
        <x:v>2925</x:v>
      </x:c>
      <x:c r="N889" s="2" t="n">
        <x:f>G889*J889</x:f>
        <x:v>1950</x:v>
      </x:c>
      <x:c r="O889" s="2" t="n">
        <x:f>M889-N889-K889</x:f>
        <x:v>925</x:v>
      </x:c>
      <x:c r="P889" s="1" t="str">
        <x:f>TEXT(B889,"yyyy-mm")</x:f>
        <x:v>2025-02</x:v>
      </x:c>
    </x:row>
    <x:row r="890">
      <x:c r="A890" s="1" t="str">
        <x:v>ORD-0886</x:v>
      </x:c>
      <x:c r="B890" s="4" t="d">
        <x:v>2025-04-11T00:00:00.000Z</x:v>
      </x:c>
      <x:c r="C890" s="1" t="str">
        <x:v>C-177</x:v>
      </x:c>
      <x:c r="D890" s="1" t="str">
        <x:v>South</x:v>
      </x:c>
      <x:c r="E890" s="1" t="str">
        <x:v>Electronics</x:v>
      </x:c>
      <x:c r="F890" s="1" t="str">
        <x:v>Headphones</x:v>
      </x:c>
      <x:c r="G890" s="1" t="n">
        <x:v>3</x:v>
      </x:c>
      <x:c r="H890" s="2" t="n">
        <x:v>2200</x:v>
      </x:c>
      <x:c r="I890" s="3" t="n">
        <x:v>0.35</x:v>
      </x:c>
      <x:c r="J890" s="2" t="n">
        <x:v>1450</x:v>
      </x:c>
      <x:c r="K890" s="2" t="n">
        <x:v>80</x:v>
      </x:c>
      <x:c r="L890" s="2" t="n">
        <x:f>G890*H890</x:f>
        <x:v>6600</x:v>
      </x:c>
      <x:c r="M890" s="2" t="n">
        <x:f>ROUND(L890*(1-I890),2)</x:f>
        <x:v>4290</x:v>
      </x:c>
      <x:c r="N890" s="2" t="n">
        <x:f>G890*J890</x:f>
        <x:v>4350</x:v>
      </x:c>
      <x:c r="O890" s="2" t="n">
        <x:f>M890-N890-K890</x:f>
        <x:v>-140</x:v>
      </x:c>
      <x:c r="P890" s="1" t="str">
        <x:f>TEXT(B890,"yyyy-mm")</x:f>
        <x:v>2025-04</x:v>
      </x:c>
    </x:row>
    <x:row r="891">
      <x:c r="A891" s="1" t="str">
        <x:v>ORD-0887</x:v>
      </x:c>
      <x:c r="B891" s="4" t="d">
        <x:v>2025-08-10T00:00:00.000Z</x:v>
      </x:c>
      <x:c r="C891" s="1" t="str">
        <x:v>C-063</x:v>
      </x:c>
      <x:c r="D891" s="1" t="str">
        <x:v>North</x:v>
      </x:c>
      <x:c r="E891" s="1" t="str">
        <x:v>Electronics</x:v>
      </x:c>
      <x:c r="F891" s="1" t="str">
        <x:v>Smartwatch</x:v>
      </x:c>
      <x:c r="G891" s="1" t="n">
        <x:v>4</x:v>
      </x:c>
      <x:c r="H891" s="2" t="n">
        <x:v>4200</x:v>
      </x:c>
      <x:c r="I891" s="3" t="n">
        <x:v>0.25</x:v>
      </x:c>
      <x:c r="J891" s="2" t="n">
        <x:v>3000</x:v>
      </x:c>
      <x:c r="K891" s="2" t="n">
        <x:v>80</x:v>
      </x:c>
      <x:c r="L891" s="2" t="n">
        <x:f>G891*H891</x:f>
        <x:v>16800</x:v>
      </x:c>
      <x:c r="M891" s="2" t="n">
        <x:f>ROUND(L891*(1-I891),2)</x:f>
        <x:v>12600</x:v>
      </x:c>
      <x:c r="N891" s="2" t="n">
        <x:f>G891*J891</x:f>
        <x:v>12000</x:v>
      </x:c>
      <x:c r="O891" s="2" t="n">
        <x:f>M891-N891-K891</x:f>
        <x:v>520</x:v>
      </x:c>
      <x:c r="P891" s="1" t="str">
        <x:f>TEXT(B891,"yyyy-mm")</x:f>
        <x:v>2025-08</x:v>
      </x:c>
    </x:row>
    <x:row r="892">
      <x:c r="A892" s="1" t="str">
        <x:v>ORD-0888</x:v>
      </x:c>
      <x:c r="B892" s="4" t="d">
        <x:v>2025-11-05T00:00:00.000Z</x:v>
      </x:c>
      <x:c r="C892" s="1" t="str">
        <x:v>C-003</x:v>
      </x:c>
      <x:c r="D892" s="1" t="str">
        <x:v>East</x:v>
      </x:c>
      <x:c r="E892" s="1" t="str">
        <x:v>Home</x:v>
      </x:c>
      <x:c r="F892" s="1" t="str">
        <x:v>Desk lamp</x:v>
      </x:c>
      <x:c r="G892" s="1" t="n">
        <x:v>3</x:v>
      </x:c>
      <x:c r="H892" s="2" t="n">
        <x:v>1100</x:v>
      </x:c>
      <x:c r="I892" s="3" t="n">
        <x:v>0.1</x:v>
      </x:c>
      <x:c r="J892" s="2" t="n">
        <x:v>650</x:v>
      </x:c>
      <x:c r="K892" s="2" t="n">
        <x:v>80</x:v>
      </x:c>
      <x:c r="L892" s="2" t="n">
        <x:f>G892*H892</x:f>
        <x:v>3300</x:v>
      </x:c>
      <x:c r="M892" s="2" t="n">
        <x:f>ROUND(L892*(1-I892),2)</x:f>
        <x:v>2970</x:v>
      </x:c>
      <x:c r="N892" s="2" t="n">
        <x:f>G892*J892</x:f>
        <x:v>1950</x:v>
      </x:c>
      <x:c r="O892" s="2" t="n">
        <x:f>M892-N892-K892</x:f>
        <x:v>940</x:v>
      </x:c>
      <x:c r="P892" s="1" t="str">
        <x:f>TEXT(B892,"yyyy-mm")</x:f>
        <x:v>2025-11</x:v>
      </x:c>
    </x:row>
    <x:row r="893">
      <x:c r="A893" s="1" t="str">
        <x:v>ORD-0889</x:v>
      </x:c>
      <x:c r="B893" s="4" t="d">
        <x:v>2025-12-24T00:00:00.000Z</x:v>
      </x:c>
      <x:c r="C893" s="1" t="str">
        <x:v>C-227</x:v>
      </x:c>
      <x:c r="D893" s="1" t="str">
        <x:v>East</x:v>
      </x:c>
      <x:c r="E893" s="1" t="str">
        <x:v>Electronics</x:v>
      </x:c>
      <x:c r="F893" s="1" t="str">
        <x:v>Smartwatch</x:v>
      </x:c>
      <x:c r="G893" s="1" t="n">
        <x:v>1</x:v>
      </x:c>
      <x:c r="H893" s="2" t="n">
        <x:v>4200</x:v>
      </x:c>
      <x:c r="I893" s="3" t="n">
        <x:v>0.25</x:v>
      </x:c>
      <x:c r="J893" s="2" t="n">
        <x:v>3000</x:v>
      </x:c>
      <x:c r="K893" s="2" t="n">
        <x:v>120</x:v>
      </x:c>
      <x:c r="L893" s="2" t="n">
        <x:f>G893*H893</x:f>
        <x:v>4200</x:v>
      </x:c>
      <x:c r="M893" s="2" t="n">
        <x:f>ROUND(L893*(1-I893),2)</x:f>
        <x:v>3150</x:v>
      </x:c>
      <x:c r="N893" s="2" t="n">
        <x:f>G893*J893</x:f>
        <x:v>3000</x:v>
      </x:c>
      <x:c r="O893" s="2" t="n">
        <x:f>M893-N893-K893</x:f>
        <x:v>30</x:v>
      </x:c>
      <x:c r="P893" s="1" t="str">
        <x:f>TEXT(B893,"yyyy-mm")</x:f>
        <x:v>2025-12</x:v>
      </x:c>
    </x:row>
    <x:row r="894">
      <x:c r="A894" s="1" t="str">
        <x:v>ORD-0890</x:v>
      </x:c>
      <x:c r="B894" s="4" t="d">
        <x:v>2025-07-22T00:00:00.000Z</x:v>
      </x:c>
      <x:c r="C894" s="1" t="str">
        <x:v>C-283</x:v>
      </x:c>
      <x:c r="D894" s="1" t="str">
        <x:v>North</x:v>
      </x:c>
      <x:c r="E894" s="1" t="str">
        <x:v>Electronics</x:v>
      </x:c>
      <x:c r="F894" s="1" t="str">
        <x:v>Headphones</x:v>
      </x:c>
      <x:c r="G894" s="1" t="n">
        <x:v>3</x:v>
      </x:c>
      <x:c r="H894" s="2" t="n">
        <x:v>2200</x:v>
      </x:c>
      <x:c r="I894" s="3" t="n">
        <x:v>0.05</x:v>
      </x:c>
      <x:c r="J894" s="2" t="n">
        <x:v>1450</x:v>
      </x:c>
      <x:c r="K894" s="2" t="n">
        <x:v>50</x:v>
      </x:c>
      <x:c r="L894" s="2" t="n">
        <x:f>G894*H894</x:f>
        <x:v>6600</x:v>
      </x:c>
      <x:c r="M894" s="2" t="n">
        <x:f>ROUND(L894*(1-I894),2)</x:f>
        <x:v>6270</x:v>
      </x:c>
      <x:c r="N894" s="2" t="n">
        <x:f>G894*J894</x:f>
        <x:v>4350</x:v>
      </x:c>
      <x:c r="O894" s="2" t="n">
        <x:f>M894-N894-K894</x:f>
        <x:v>1870</x:v>
      </x:c>
      <x:c r="P894" s="1" t="str">
        <x:f>TEXT(B894,"yyyy-mm")</x:f>
        <x:v>2025-07</x:v>
      </x:c>
    </x:row>
    <x:row r="895">
      <x:c r="A895" s="1" t="str">
        <x:v>ORD-0891</x:v>
      </x:c>
      <x:c r="B895" s="4" t="d">
        <x:v>2025-06-12T00:00:00.000Z</x:v>
      </x:c>
      <x:c r="C895" s="1" t="str">
        <x:v>C-048</x:v>
      </x:c>
      <x:c r="D895" s="1" t="str">
        <x:v>East</x:v>
      </x:c>
      <x:c r="E895" s="1" t="str">
        <x:v>Fashion</x:v>
      </x:c>
      <x:c r="F895" s="1" t="str">
        <x:v>T-shirt</x:v>
      </x:c>
      <x:c r="G895" s="1" t="n">
        <x:v>1</x:v>
      </x:c>
      <x:c r="H895" s="2" t="n">
        <x:v>700</x:v>
      </x:c>
      <x:c r="I895" s="3" t="n">
        <x:v>0.15</x:v>
      </x:c>
      <x:c r="J895" s="2" t="n">
        <x:v>300</x:v>
      </x:c>
      <x:c r="K895" s="2" t="n">
        <x:v>120</x:v>
      </x:c>
      <x:c r="L895" s="2" t="n">
        <x:f>G895*H895</x:f>
        <x:v>700</x:v>
      </x:c>
      <x:c r="M895" s="2" t="n">
        <x:f>ROUND(L895*(1-I895),2)</x:f>
        <x:v>595</x:v>
      </x:c>
      <x:c r="N895" s="2" t="n">
        <x:f>G895*J895</x:f>
        <x:v>300</x:v>
      </x:c>
      <x:c r="O895" s="2" t="n">
        <x:f>M895-N895-K895</x:f>
        <x:v>175</x:v>
      </x:c>
      <x:c r="P895" s="1" t="str">
        <x:f>TEXT(B895,"yyyy-mm")</x:f>
        <x:v>2025-06</x:v>
      </x:c>
    </x:row>
    <x:row r="896">
      <x:c r="A896" s="1" t="str">
        <x:v>ORD-0892</x:v>
      </x:c>
      <x:c r="B896" s="4" t="d">
        <x:v>2025-09-26T00:00:00.000Z</x:v>
      </x:c>
      <x:c r="C896" s="1" t="str">
        <x:v>C-143</x:v>
      </x:c>
      <x:c r="D896" s="1" t="str">
        <x:v>South</x:v>
      </x:c>
      <x:c r="E896" s="1" t="str">
        <x:v>Home</x:v>
      </x:c>
      <x:c r="F896" s="1" t="str">
        <x:v>Storage box</x:v>
      </x:c>
      <x:c r="G896" s="1" t="n">
        <x:v>1</x:v>
      </x:c>
      <x:c r="H896" s="2" t="n">
        <x:v>800</x:v>
      </x:c>
      <x:c r="I896" s="3" t="n">
        <x:v>0.05</x:v>
      </x:c>
      <x:c r="J896" s="2" t="n">
        <x:v>420</x:v>
      </x:c>
      <x:c r="K896" s="2" t="n">
        <x:v>50</x:v>
      </x:c>
      <x:c r="L896" s="2" t="n">
        <x:f>G896*H896</x:f>
        <x:v>800</x:v>
      </x:c>
      <x:c r="M896" s="2" t="n">
        <x:f>ROUND(L896*(1-I896),2)</x:f>
        <x:v>760</x:v>
      </x:c>
      <x:c r="N896" s="2" t="n">
        <x:f>G896*J896</x:f>
        <x:v>420</x:v>
      </x:c>
      <x:c r="O896" s="2" t="n">
        <x:f>M896-N896-K896</x:f>
        <x:v>290</x:v>
      </x:c>
      <x:c r="P896" s="1" t="str">
        <x:f>TEXT(B896,"yyyy-mm")</x:f>
        <x:v>2025-09</x:v>
      </x:c>
    </x:row>
    <x:row r="897">
      <x:c r="A897" s="1" t="str">
        <x:v>ORD-0893</x:v>
      </x:c>
      <x:c r="B897" s="4" t="d">
        <x:v>2025-08-22T00:00:00.000Z</x:v>
      </x:c>
      <x:c r="C897" s="1" t="str">
        <x:v>C-045</x:v>
      </x:c>
      <x:c r="D897" s="1" t="str">
        <x:v>West</x:v>
      </x:c>
      <x:c r="E897" s="1" t="str">
        <x:v>Home</x:v>
      </x:c>
      <x:c r="F897" s="1" t="str">
        <x:v>Desk lamp</x:v>
      </x:c>
      <x:c r="G897" s="1" t="n">
        <x:v>2</x:v>
      </x:c>
      <x:c r="H897" s="2" t="n">
        <x:v>1100</x:v>
      </x:c>
      <x:c r="I897" s="3" t="n">
        <x:v>0.35</x:v>
      </x:c>
      <x:c r="J897" s="2" t="n">
        <x:v>650</x:v>
      </x:c>
      <x:c r="K897" s="2" t="n">
        <x:v>80</x:v>
      </x:c>
      <x:c r="L897" s="2" t="n">
        <x:f>G897*H897</x:f>
        <x:v>2200</x:v>
      </x:c>
      <x:c r="M897" s="2" t="n">
        <x:f>ROUND(L897*(1-I897),2)</x:f>
        <x:v>1430</x:v>
      </x:c>
      <x:c r="N897" s="2" t="n">
        <x:f>G897*J897</x:f>
        <x:v>1300</x:v>
      </x:c>
      <x:c r="O897" s="2" t="n">
        <x:f>M897-N897-K897</x:f>
        <x:v>50</x:v>
      </x:c>
      <x:c r="P897" s="1" t="str">
        <x:f>TEXT(B897,"yyyy-mm")</x:f>
        <x:v>2025-08</x:v>
      </x:c>
    </x:row>
    <x:row r="898">
      <x:c r="A898" s="1" t="str">
        <x:v>ORD-0894</x:v>
      </x:c>
      <x:c r="B898" s="4" t="d">
        <x:v>2025-05-30T00:00:00.000Z</x:v>
      </x:c>
      <x:c r="C898" s="1" t="str">
        <x:v>C-185</x:v>
      </x:c>
      <x:c r="D898" s="1" t="str">
        <x:v>West</x:v>
      </x:c>
      <x:c r="E898" s="1" t="str">
        <x:v>Home</x:v>
      </x:c>
      <x:c r="F898" s="1" t="str">
        <x:v>Storage box</x:v>
      </x:c>
      <x:c r="G898" s="1" t="n">
        <x:v>2</x:v>
      </x:c>
      <x:c r="H898" s="2" t="n">
        <x:v>800</x:v>
      </x:c>
      <x:c r="I898" s="3" t="n">
        <x:v>0</x:v>
      </x:c>
      <x:c r="J898" s="2" t="n">
        <x:v>420</x:v>
      </x:c>
      <x:c r="K898" s="2" t="n">
        <x:v>120</x:v>
      </x:c>
      <x:c r="L898" s="2" t="n">
        <x:f>G898*H898</x:f>
        <x:v>1600</x:v>
      </x:c>
      <x:c r="M898" s="2" t="n">
        <x:f>ROUND(L898*(1-I898),2)</x:f>
        <x:v>1600</x:v>
      </x:c>
      <x:c r="N898" s="2" t="n">
        <x:f>G898*J898</x:f>
        <x:v>840</x:v>
      </x:c>
      <x:c r="O898" s="2" t="n">
        <x:f>M898-N898-K898</x:f>
        <x:v>640</x:v>
      </x:c>
      <x:c r="P898" s="1" t="str">
        <x:f>TEXT(B898,"yyyy-mm")</x:f>
        <x:v>2025-05</x:v>
      </x:c>
    </x:row>
    <x:row r="899">
      <x:c r="A899" s="1" t="str">
        <x:v>ORD-0895</x:v>
      </x:c>
      <x:c r="B899" s="4" t="d">
        <x:v>2025-11-12T00:00:00.000Z</x:v>
      </x:c>
      <x:c r="C899" s="1" t="str">
        <x:v>C-007</x:v>
      </x:c>
      <x:c r="D899" s="1" t="str">
        <x:v>East</x:v>
      </x:c>
      <x:c r="E899" s="1" t="str">
        <x:v>Fashion</x:v>
      </x:c>
      <x:c r="F899" s="1" t="str">
        <x:v>Backpack</x:v>
      </x:c>
      <x:c r="G899" s="1" t="n">
        <x:v>3</x:v>
      </x:c>
      <x:c r="H899" s="2" t="n">
        <x:v>1300</x:v>
      </x:c>
      <x:c r="I899" s="3" t="n">
        <x:v>0.15</x:v>
      </x:c>
      <x:c r="J899" s="2" t="n">
        <x:v>650</x:v>
      </x:c>
      <x:c r="K899" s="2" t="n">
        <x:v>80</x:v>
      </x:c>
      <x:c r="L899" s="2" t="n">
        <x:f>G899*H899</x:f>
        <x:v>3900</x:v>
      </x:c>
      <x:c r="M899" s="2" t="n">
        <x:f>ROUND(L899*(1-I899),2)</x:f>
        <x:v>3315</x:v>
      </x:c>
      <x:c r="N899" s="2" t="n">
        <x:f>G899*J899</x:f>
        <x:v>1950</x:v>
      </x:c>
      <x:c r="O899" s="2" t="n">
        <x:f>M899-N899-K899</x:f>
        <x:v>1285</x:v>
      </x:c>
      <x:c r="P899" s="1" t="str">
        <x:f>TEXT(B899,"yyyy-mm")</x:f>
        <x:v>2025-11</x:v>
      </x:c>
    </x:row>
    <x:row r="900">
      <x:c r="A900" s="1" t="str">
        <x:v>ORD-0896</x:v>
      </x:c>
      <x:c r="B900" s="4" t="d">
        <x:v>2025-05-03T00:00:00.000Z</x:v>
      </x:c>
      <x:c r="C900" s="1" t="str">
        <x:v>C-111</x:v>
      </x:c>
      <x:c r="D900" s="1" t="str">
        <x:v>West</x:v>
      </x:c>
      <x:c r="E900" s="1" t="str">
        <x:v>Home</x:v>
      </x:c>
      <x:c r="F900" s="1" t="str">
        <x:v>Desk lamp</x:v>
      </x:c>
      <x:c r="G900" s="1" t="n">
        <x:v>4</x:v>
      </x:c>
      <x:c r="H900" s="2" t="n">
        <x:v>1100</x:v>
      </x:c>
      <x:c r="I900" s="3" t="n">
        <x:v>0.25</x:v>
      </x:c>
      <x:c r="J900" s="2" t="n">
        <x:v>650</x:v>
      </x:c>
      <x:c r="K900" s="2" t="n">
        <x:v>80</x:v>
      </x:c>
      <x:c r="L900" s="2" t="n">
        <x:f>G900*H900</x:f>
        <x:v>4400</x:v>
      </x:c>
      <x:c r="M900" s="2" t="n">
        <x:f>ROUND(L900*(1-I900),2)</x:f>
        <x:v>3300</x:v>
      </x:c>
      <x:c r="N900" s="2" t="n">
        <x:f>G900*J900</x:f>
        <x:v>2600</x:v>
      </x:c>
      <x:c r="O900" s="2" t="n">
        <x:f>M900-N900-K900</x:f>
        <x:v>620</x:v>
      </x:c>
      <x:c r="P900" s="1" t="str">
        <x:f>TEXT(B900,"yyyy-mm")</x:f>
        <x:v>2025-05</x:v>
      </x:c>
    </x:row>
    <x:row r="901">
      <x:c r="A901" s="1" t="str">
        <x:v>ORD-0897</x:v>
      </x:c>
      <x:c r="B901" s="4" t="d">
        <x:v>2025-05-29T00:00:00.000Z</x:v>
      </x:c>
      <x:c r="C901" s="1" t="str">
        <x:v>C-213</x:v>
      </x:c>
      <x:c r="D901" s="1" t="str">
        <x:v>South</x:v>
      </x:c>
      <x:c r="E901" s="1" t="str">
        <x:v>Home</x:v>
      </x:c>
      <x:c r="F901" s="1" t="str">
        <x:v>Office chair</x:v>
      </x:c>
      <x:c r="G901" s="1" t="n">
        <x:v>1</x:v>
      </x:c>
      <x:c r="H901" s="2" t="n">
        <x:v>5500</x:v>
      </x:c>
      <x:c r="I901" s="3" t="n">
        <x:v>0.35</x:v>
      </x:c>
      <x:c r="J901" s="2" t="n">
        <x:v>4400</x:v>
      </x:c>
      <x:c r="K901" s="2" t="n">
        <x:v>50</x:v>
      </x:c>
      <x:c r="L901" s="2" t="n">
        <x:f>G901*H901</x:f>
        <x:v>5500</x:v>
      </x:c>
      <x:c r="M901" s="2" t="n">
        <x:f>ROUND(L901*(1-I901),2)</x:f>
        <x:v>3575</x:v>
      </x:c>
      <x:c r="N901" s="2" t="n">
        <x:f>G901*J901</x:f>
        <x:v>4400</x:v>
      </x:c>
      <x:c r="O901" s="2" t="n">
        <x:f>M901-N901-K901</x:f>
        <x:v>-875</x:v>
      </x:c>
      <x:c r="P901" s="1" t="str">
        <x:f>TEXT(B901,"yyyy-mm")</x:f>
        <x:v>2025-05</x:v>
      </x:c>
    </x:row>
    <x:row r="902">
      <x:c r="A902" s="1" t="str">
        <x:v>ORD-0898</x:v>
      </x:c>
      <x:c r="B902" s="4" t="d">
        <x:v>2025-04-11T00:00:00.000Z</x:v>
      </x:c>
      <x:c r="C902" s="1" t="str">
        <x:v>C-034</x:v>
      </x:c>
      <x:c r="D902" s="1" t="str">
        <x:v>West</x:v>
      </x:c>
      <x:c r="E902" s="1" t="str">
        <x:v>Home</x:v>
      </x:c>
      <x:c r="F902" s="1" t="str">
        <x:v>Desk lamp</x:v>
      </x:c>
      <x:c r="G902" s="1" t="n">
        <x:v>1</x:v>
      </x:c>
      <x:c r="H902" s="2" t="n">
        <x:v>1100</x:v>
      </x:c>
      <x:c r="I902" s="3" t="n">
        <x:v>0.25</x:v>
      </x:c>
      <x:c r="J902" s="2" t="n">
        <x:v>650</x:v>
      </x:c>
      <x:c r="K902" s="2" t="n">
        <x:v>50</x:v>
      </x:c>
      <x:c r="L902" s="2" t="n">
        <x:f>G902*H902</x:f>
        <x:v>1100</x:v>
      </x:c>
      <x:c r="M902" s="2" t="n">
        <x:f>ROUND(L902*(1-I902),2)</x:f>
        <x:v>825</x:v>
      </x:c>
      <x:c r="N902" s="2" t="n">
        <x:f>G902*J902</x:f>
        <x:v>650</x:v>
      </x:c>
      <x:c r="O902" s="2" t="n">
        <x:f>M902-N902-K902</x:f>
        <x:v>125</x:v>
      </x:c>
      <x:c r="P902" s="1" t="str">
        <x:f>TEXT(B902,"yyyy-mm")</x:f>
        <x:v>2025-04</x:v>
      </x:c>
    </x:row>
    <x:row r="903">
      <x:c r="A903" s="1" t="str">
        <x:v>ORD-0899</x:v>
      </x:c>
      <x:c r="B903" s="4" t="d">
        <x:v>2025-06-06T00:00:00.000Z</x:v>
      </x:c>
      <x:c r="C903" s="1" t="str">
        <x:v>C-285</x:v>
      </x:c>
      <x:c r="D903" s="1" t="str">
        <x:v>West</x:v>
      </x:c>
      <x:c r="E903" s="1" t="str">
        <x:v>Fashion</x:v>
      </x:c>
      <x:c r="F903" s="1" t="str">
        <x:v>Sneakers</x:v>
      </x:c>
      <x:c r="G903" s="1" t="n">
        <x:v>2</x:v>
      </x:c>
      <x:c r="H903" s="2" t="n">
        <x:v>2400</x:v>
      </x:c>
      <x:c r="I903" s="3" t="n">
        <x:v>0.15</x:v>
      </x:c>
      <x:c r="J903" s="2" t="n">
        <x:v>1200</x:v>
      </x:c>
      <x:c r="K903" s="2" t="n">
        <x:v>50</x:v>
      </x:c>
      <x:c r="L903" s="2" t="n">
        <x:f>G903*H903</x:f>
        <x:v>4800</x:v>
      </x:c>
      <x:c r="M903" s="2" t="n">
        <x:f>ROUND(L903*(1-I903),2)</x:f>
        <x:v>4080</x:v>
      </x:c>
      <x:c r="N903" s="2" t="n">
        <x:f>G903*J903</x:f>
        <x:v>2400</x:v>
      </x:c>
      <x:c r="O903" s="2" t="n">
        <x:f>M903-N903-K903</x:f>
        <x:v>1630</x:v>
      </x:c>
      <x:c r="P903" s="1" t="str">
        <x:f>TEXT(B903,"yyyy-mm")</x:f>
        <x:v>2025-06</x:v>
      </x:c>
    </x:row>
    <x:row r="904">
      <x:c r="A904" s="1" t="str">
        <x:v>ORD-0900</x:v>
      </x:c>
      <x:c r="B904" s="4" t="d">
        <x:v>2025-03-18T00:00:00.000Z</x:v>
      </x:c>
      <x:c r="C904" s="1" t="str">
        <x:v>C-252</x:v>
      </x:c>
      <x:c r="D904" s="1" t="str">
        <x:v>North</x:v>
      </x:c>
      <x:c r="E904" s="1" t="str">
        <x:v>Home</x:v>
      </x:c>
      <x:c r="F904" s="1" t="str">
        <x:v>Office chair</x:v>
      </x:c>
      <x:c r="G904" s="1" t="n">
        <x:v>3</x:v>
      </x:c>
      <x:c r="H904" s="2" t="n">
        <x:v>5500</x:v>
      </x:c>
      <x:c r="I904" s="3" t="n">
        <x:v>0.1</x:v>
      </x:c>
      <x:c r="J904" s="2" t="n">
        <x:v>4400</x:v>
      </x:c>
      <x:c r="K904" s="2" t="n">
        <x:v>120</x:v>
      </x:c>
      <x:c r="L904" s="2" t="n">
        <x:f>G904*H904</x:f>
        <x:v>16500</x:v>
      </x:c>
      <x:c r="M904" s="2" t="n">
        <x:f>ROUND(L904*(1-I904),2)</x:f>
        <x:v>14850</x:v>
      </x:c>
      <x:c r="N904" s="2" t="n">
        <x:f>G904*J904</x:f>
        <x:v>13200</x:v>
      </x:c>
      <x:c r="O904" s="2" t="n">
        <x:f>M904-N904-K904</x:f>
        <x:v>1530</x:v>
      </x:c>
      <x:c r="P904" s="1" t="str">
        <x:f>TEXT(B904,"yyyy-mm")</x:f>
        <x:v>2025-03</x:v>
      </x:c>
    </x:row>
    <x:row r="905">
      <x:c r="A905" s="1" t="str">
        <x:v>ORD-0901</x:v>
      </x:c>
      <x:c r="B905" s="4" t="d">
        <x:v>2025-05-15T00:00:00.000Z</x:v>
      </x:c>
      <x:c r="C905" s="1" t="str">
        <x:v>C-115</x:v>
      </x:c>
      <x:c r="D905" s="1" t="str">
        <x:v>North</x:v>
      </x:c>
      <x:c r="E905" s="1" t="str">
        <x:v>Home</x:v>
      </x:c>
      <x:c r="F905" s="1" t="str">
        <x:v>Storage box</x:v>
      </x:c>
      <x:c r="G905" s="1" t="n">
        <x:v>1</x:v>
      </x:c>
      <x:c r="H905" s="2" t="n">
        <x:v>800</x:v>
      </x:c>
      <x:c r="I905" s="3" t="n">
        <x:v>0.35</x:v>
      </x:c>
      <x:c r="J905" s="2" t="n">
        <x:v>420</x:v>
      </x:c>
      <x:c r="K905" s="2" t="n">
        <x:v>50</x:v>
      </x:c>
      <x:c r="L905" s="2" t="n">
        <x:f>G905*H905</x:f>
        <x:v>800</x:v>
      </x:c>
      <x:c r="M905" s="2" t="n">
        <x:f>ROUND(L905*(1-I905),2)</x:f>
        <x:v>520</x:v>
      </x:c>
      <x:c r="N905" s="2" t="n">
        <x:f>G905*J905</x:f>
        <x:v>420</x:v>
      </x:c>
      <x:c r="O905" s="2" t="n">
        <x:f>M905-N905-K905</x:f>
        <x:v>50</x:v>
      </x:c>
      <x:c r="P905" s="1" t="str">
        <x:f>TEXT(B905,"yyyy-mm")</x:f>
        <x:v>2025-05</x:v>
      </x:c>
    </x:row>
    <x:row r="906">
      <x:c r="A906" s="1" t="str">
        <x:v>ORD-0902</x:v>
      </x:c>
      <x:c r="B906" s="4" t="d">
        <x:v>2025-04-21T00:00:00.000Z</x:v>
      </x:c>
      <x:c r="C906" s="1" t="str">
        <x:v>C-148</x:v>
      </x:c>
      <x:c r="D906" s="1" t="str">
        <x:v>West</x:v>
      </x:c>
      <x:c r="E906" s="1" t="str">
        <x:v>Home</x:v>
      </x:c>
      <x:c r="F906" s="1" t="str">
        <x:v>Desk lamp</x:v>
      </x:c>
      <x:c r="G906" s="1" t="n">
        <x:v>2</x:v>
      </x:c>
      <x:c r="H906" s="2" t="n">
        <x:v>1100</x:v>
      </x:c>
      <x:c r="I906" s="3" t="n">
        <x:v>0</x:v>
      </x:c>
      <x:c r="J906" s="2" t="n">
        <x:v>650</x:v>
      </x:c>
      <x:c r="K906" s="2" t="n">
        <x:v>80</x:v>
      </x:c>
      <x:c r="L906" s="2" t="n">
        <x:f>G906*H906</x:f>
        <x:v>2200</x:v>
      </x:c>
      <x:c r="M906" s="2" t="n">
        <x:f>ROUND(L906*(1-I906),2)</x:f>
        <x:v>2200</x:v>
      </x:c>
      <x:c r="N906" s="2" t="n">
        <x:f>G906*J906</x:f>
        <x:v>1300</x:v>
      </x:c>
      <x:c r="O906" s="2" t="n">
        <x:f>M906-N906-K906</x:f>
        <x:v>820</x:v>
      </x:c>
      <x:c r="P906" s="1" t="str">
        <x:f>TEXT(B906,"yyyy-mm")</x:f>
        <x:v>2025-04</x:v>
      </x:c>
    </x:row>
    <x:row r="907">
      <x:c r="A907" s="1" t="str">
        <x:v>ORD-0903</x:v>
      </x:c>
      <x:c r="B907" s="4" t="d">
        <x:v>2025-12-04T00:00:00.000Z</x:v>
      </x:c>
      <x:c r="C907" s="1" t="str">
        <x:v>C-142</x:v>
      </x:c>
      <x:c r="D907" s="1" t="str">
        <x:v>West</x:v>
      </x:c>
      <x:c r="E907" s="1" t="str">
        <x:v>Fashion</x:v>
      </x:c>
      <x:c r="F907" s="1" t="str">
        <x:v>T-shirt</x:v>
      </x:c>
      <x:c r="G907" s="1" t="n">
        <x:v>1</x:v>
      </x:c>
      <x:c r="H907" s="2" t="n">
        <x:v>700</x:v>
      </x:c>
      <x:c r="I907" s="3" t="n">
        <x:v>0</x:v>
      </x:c>
      <x:c r="J907" s="2" t="n">
        <x:v>300</x:v>
      </x:c>
      <x:c r="K907" s="2" t="n">
        <x:v>120</x:v>
      </x:c>
      <x:c r="L907" s="2" t="n">
        <x:f>G907*H907</x:f>
        <x:v>700</x:v>
      </x:c>
      <x:c r="M907" s="2" t="n">
        <x:f>ROUND(L907*(1-I907),2)</x:f>
        <x:v>700</x:v>
      </x:c>
      <x:c r="N907" s="2" t="n">
        <x:f>G907*J907</x:f>
        <x:v>300</x:v>
      </x:c>
      <x:c r="O907" s="2" t="n">
        <x:f>M907-N907-K907</x:f>
        <x:v>280</x:v>
      </x:c>
      <x:c r="P907" s="1" t="str">
        <x:f>TEXT(B907,"yyyy-mm")</x:f>
        <x:v>2025-12</x:v>
      </x:c>
    </x:row>
    <x:row r="908">
      <x:c r="A908" s="1" t="str">
        <x:v>ORD-0904</x:v>
      </x:c>
      <x:c r="B908" s="4" t="d">
        <x:v>2025-10-14T00:00:00.000Z</x:v>
      </x:c>
      <x:c r="C908" s="1" t="str">
        <x:v>C-133</x:v>
      </x:c>
      <x:c r="D908" s="1" t="str">
        <x:v>West</x:v>
      </x:c>
      <x:c r="E908" s="1" t="str">
        <x:v>Home</x:v>
      </x:c>
      <x:c r="F908" s="1" t="str">
        <x:v>Desk lamp</x:v>
      </x:c>
      <x:c r="G908" s="1" t="n">
        <x:v>1</x:v>
      </x:c>
      <x:c r="H908" s="2" t="n">
        <x:v>1100</x:v>
      </x:c>
      <x:c r="I908" s="3" t="n">
        <x:v>0.25</x:v>
      </x:c>
      <x:c r="J908" s="2" t="n">
        <x:v>650</x:v>
      </x:c>
      <x:c r="K908" s="2" t="n">
        <x:v>80</x:v>
      </x:c>
      <x:c r="L908" s="2" t="n">
        <x:f>G908*H908</x:f>
        <x:v>1100</x:v>
      </x:c>
      <x:c r="M908" s="2" t="n">
        <x:f>ROUND(L908*(1-I908),2)</x:f>
        <x:v>825</x:v>
      </x:c>
      <x:c r="N908" s="2" t="n">
        <x:f>G908*J908</x:f>
        <x:v>650</x:v>
      </x:c>
      <x:c r="O908" s="2" t="n">
        <x:f>M908-N908-K908</x:f>
        <x:v>95</x:v>
      </x:c>
      <x:c r="P908" s="1" t="str">
        <x:f>TEXT(B908,"yyyy-mm")</x:f>
        <x:v>2025-10</x:v>
      </x:c>
    </x:row>
    <x:row r="909">
      <x:c r="A909" s="1" t="str">
        <x:v>ORD-0905</x:v>
      </x:c>
      <x:c r="B909" s="4" t="d">
        <x:v>2025-08-06T00:00:00.000Z</x:v>
      </x:c>
      <x:c r="C909" s="1" t="str">
        <x:v>C-298</x:v>
      </x:c>
      <x:c r="D909" s="1" t="str">
        <x:v>North</x:v>
      </x:c>
      <x:c r="E909" s="1" t="str">
        <x:v>Electronics</x:v>
      </x:c>
      <x:c r="F909" s="1" t="str">
        <x:v>Headphones</x:v>
      </x:c>
      <x:c r="G909" s="1" t="n">
        <x:v>2</x:v>
      </x:c>
      <x:c r="H909" s="2" t="n">
        <x:v>2200</x:v>
      </x:c>
      <x:c r="I909" s="3" t="n">
        <x:v>0.1</x:v>
      </x:c>
      <x:c r="J909" s="2" t="n">
        <x:v>1450</x:v>
      </x:c>
      <x:c r="K909" s="2" t="n">
        <x:v>80</x:v>
      </x:c>
      <x:c r="L909" s="2" t="n">
        <x:f>G909*H909</x:f>
        <x:v>4400</x:v>
      </x:c>
      <x:c r="M909" s="2" t="n">
        <x:f>ROUND(L909*(1-I909),2)</x:f>
        <x:v>3960</x:v>
      </x:c>
      <x:c r="N909" s="2" t="n">
        <x:f>G909*J909</x:f>
        <x:v>2900</x:v>
      </x:c>
      <x:c r="O909" s="2" t="n">
        <x:f>M909-N909-K909</x:f>
        <x:v>980</x:v>
      </x:c>
      <x:c r="P909" s="1" t="str">
        <x:f>TEXT(B909,"yyyy-mm")</x:f>
        <x:v>2025-08</x:v>
      </x:c>
    </x:row>
    <x:row r="910">
      <x:c r="A910" s="1" t="str">
        <x:v>ORD-0906</x:v>
      </x:c>
      <x:c r="B910" s="4" t="d">
        <x:v>2025-07-06T00:00:00.000Z</x:v>
      </x:c>
      <x:c r="C910" s="1" t="str">
        <x:v>C-028</x:v>
      </x:c>
      <x:c r="D910" s="1" t="str">
        <x:v>East</x:v>
      </x:c>
      <x:c r="E910" s="1" t="str">
        <x:v>Electronics</x:v>
      </x:c>
      <x:c r="F910" s="1" t="str">
        <x:v>Smartwatch</x:v>
      </x:c>
      <x:c r="G910" s="1" t="n">
        <x:v>3</x:v>
      </x:c>
      <x:c r="H910" s="2" t="n">
        <x:v>4200</x:v>
      </x:c>
      <x:c r="I910" s="3" t="n">
        <x:v>0.1</x:v>
      </x:c>
      <x:c r="J910" s="2" t="n">
        <x:v>3000</x:v>
      </x:c>
      <x:c r="K910" s="2" t="n">
        <x:v>80</x:v>
      </x:c>
      <x:c r="L910" s="2" t="n">
        <x:f>G910*H910</x:f>
        <x:v>12600</x:v>
      </x:c>
      <x:c r="M910" s="2" t="n">
        <x:f>ROUND(L910*(1-I910),2)</x:f>
        <x:v>11340</x:v>
      </x:c>
      <x:c r="N910" s="2" t="n">
        <x:f>G910*J910</x:f>
        <x:v>9000</x:v>
      </x:c>
      <x:c r="O910" s="2" t="n">
        <x:f>M910-N910-K910</x:f>
        <x:v>2260</x:v>
      </x:c>
      <x:c r="P910" s="1" t="str">
        <x:f>TEXT(B910,"yyyy-mm")</x:f>
        <x:v>2025-07</x:v>
      </x:c>
    </x:row>
    <x:row r="911">
      <x:c r="A911" s="1" t="str">
        <x:v>ORD-0907</x:v>
      </x:c>
      <x:c r="B911" s="4" t="d">
        <x:v>2025-09-10T00:00:00.000Z</x:v>
      </x:c>
      <x:c r="C911" s="1" t="str">
        <x:v>C-150</x:v>
      </x:c>
      <x:c r="D911" s="1" t="str">
        <x:v>North</x:v>
      </x:c>
      <x:c r="E911" s="1" t="str">
        <x:v>Fashion</x:v>
      </x:c>
      <x:c r="F911" s="1" t="str">
        <x:v>Backpack</x:v>
      </x:c>
      <x:c r="G911" s="1" t="n">
        <x:v>2</x:v>
      </x:c>
      <x:c r="H911" s="2" t="n">
        <x:v>1300</x:v>
      </x:c>
      <x:c r="I911" s="3" t="n">
        <x:v>0</x:v>
      </x:c>
      <x:c r="J911" s="2" t="n">
        <x:v>650</x:v>
      </x:c>
      <x:c r="K911" s="2" t="n">
        <x:v>120</x:v>
      </x:c>
      <x:c r="L911" s="2" t="n">
        <x:f>G911*H911</x:f>
        <x:v>2600</x:v>
      </x:c>
      <x:c r="M911" s="2" t="n">
        <x:f>ROUND(L911*(1-I911),2)</x:f>
        <x:v>2600</x:v>
      </x:c>
      <x:c r="N911" s="2" t="n">
        <x:f>G911*J911</x:f>
        <x:v>1300</x:v>
      </x:c>
      <x:c r="O911" s="2" t="n">
        <x:f>M911-N911-K911</x:f>
        <x:v>1180</x:v>
      </x:c>
      <x:c r="P911" s="1" t="str">
        <x:f>TEXT(B911,"yyyy-mm")</x:f>
        <x:v>2025-09</x:v>
      </x:c>
    </x:row>
    <x:row r="912">
      <x:c r="A912" s="1" t="str">
        <x:v>ORD-0908</x:v>
      </x:c>
      <x:c r="B912" s="4" t="d">
        <x:v>2025-03-25T00:00:00.000Z</x:v>
      </x:c>
      <x:c r="C912" s="1" t="str">
        <x:v>C-086</x:v>
      </x:c>
      <x:c r="D912" s="1" t="str">
        <x:v>East</x:v>
      </x:c>
      <x:c r="E912" s="1" t="str">
        <x:v>Electronics</x:v>
      </x:c>
      <x:c r="F912" s="1" t="str">
        <x:v>Keyboard</x:v>
      </x:c>
      <x:c r="G912" s="1" t="n">
        <x:v>3</x:v>
      </x:c>
      <x:c r="H912" s="2" t="n">
        <x:v>1500</x:v>
      </x:c>
      <x:c r="I912" s="3" t="n">
        <x:v>0.25</x:v>
      </x:c>
      <x:c r="J912" s="2" t="n">
        <x:v>900</x:v>
      </x:c>
      <x:c r="K912" s="2" t="n">
        <x:v>120</x:v>
      </x:c>
      <x:c r="L912" s="2" t="n">
        <x:f>G912*H912</x:f>
        <x:v>4500</x:v>
      </x:c>
      <x:c r="M912" s="2" t="n">
        <x:f>ROUND(L912*(1-I912),2)</x:f>
        <x:v>3375</x:v>
      </x:c>
      <x:c r="N912" s="2" t="n">
        <x:f>G912*J912</x:f>
        <x:v>2700</x:v>
      </x:c>
      <x:c r="O912" s="2" t="n">
        <x:f>M912-N912-K912</x:f>
        <x:v>555</x:v>
      </x:c>
      <x:c r="P912" s="1" t="str">
        <x:f>TEXT(B912,"yyyy-mm")</x:f>
        <x:v>2025-03</x:v>
      </x:c>
    </x:row>
    <x:row r="913">
      <x:c r="A913" s="1" t="str">
        <x:v>ORD-0909</x:v>
      </x:c>
      <x:c r="B913" s="4" t="d">
        <x:v>2025-11-23T00:00:00.000Z</x:v>
      </x:c>
      <x:c r="C913" s="1" t="str">
        <x:v>C-186</x:v>
      </x:c>
      <x:c r="D913" s="1" t="str">
        <x:v>North</x:v>
      </x:c>
      <x:c r="E913" s="1" t="str">
        <x:v>Fashion</x:v>
      </x:c>
      <x:c r="F913" s="1" t="str">
        <x:v>Sneakers</x:v>
      </x:c>
      <x:c r="G913" s="1" t="n">
        <x:v>3</x:v>
      </x:c>
      <x:c r="H913" s="2" t="n">
        <x:v>2400</x:v>
      </x:c>
      <x:c r="I913" s="3" t="n">
        <x:v>0.35</x:v>
      </x:c>
      <x:c r="J913" s="2" t="n">
        <x:v>1200</x:v>
      </x:c>
      <x:c r="K913" s="2" t="n">
        <x:v>50</x:v>
      </x:c>
      <x:c r="L913" s="2" t="n">
        <x:f>G913*H913</x:f>
        <x:v>7200</x:v>
      </x:c>
      <x:c r="M913" s="2" t="n">
        <x:f>ROUND(L913*(1-I913),2)</x:f>
        <x:v>4680</x:v>
      </x:c>
      <x:c r="N913" s="2" t="n">
        <x:f>G913*J913</x:f>
        <x:v>3600</x:v>
      </x:c>
      <x:c r="O913" s="2" t="n">
        <x:f>M913-N913-K913</x:f>
        <x:v>1030</x:v>
      </x:c>
      <x:c r="P913" s="1" t="str">
        <x:f>TEXT(B913,"yyyy-mm")</x:f>
        <x:v>2025-11</x:v>
      </x:c>
    </x:row>
    <x:row r="914">
      <x:c r="A914" s="1" t="str">
        <x:v>ORD-0910</x:v>
      </x:c>
      <x:c r="B914" s="4" t="d">
        <x:v>2025-01-12T00:00:00.000Z</x:v>
      </x:c>
      <x:c r="C914" s="1" t="str">
        <x:v>C-249</x:v>
      </x:c>
      <x:c r="D914" s="1" t="str">
        <x:v>West</x:v>
      </x:c>
      <x:c r="E914" s="1" t="str">
        <x:v>Home</x:v>
      </x:c>
      <x:c r="F914" s="1" t="str">
        <x:v>Storage box</x:v>
      </x:c>
      <x:c r="G914" s="1" t="n">
        <x:v>3</x:v>
      </x:c>
      <x:c r="H914" s="2" t="n">
        <x:v>800</x:v>
      </x:c>
      <x:c r="I914" s="3" t="n">
        <x:v>0.1</x:v>
      </x:c>
      <x:c r="J914" s="2" t="n">
        <x:v>420</x:v>
      </x:c>
      <x:c r="K914" s="2" t="n">
        <x:v>50</x:v>
      </x:c>
      <x:c r="L914" s="2" t="n">
        <x:f>G914*H914</x:f>
        <x:v>2400</x:v>
      </x:c>
      <x:c r="M914" s="2" t="n">
        <x:f>ROUND(L914*(1-I914),2)</x:f>
        <x:v>2160</x:v>
      </x:c>
      <x:c r="N914" s="2" t="n">
        <x:f>G914*J914</x:f>
        <x:v>1260</x:v>
      </x:c>
      <x:c r="O914" s="2" t="n">
        <x:f>M914-N914-K914</x:f>
        <x:v>850</x:v>
      </x:c>
      <x:c r="P914" s="1" t="str">
        <x:f>TEXT(B914,"yyyy-mm")</x:f>
        <x:v>2025-01</x:v>
      </x:c>
    </x:row>
    <x:row r="915">
      <x:c r="A915" s="1" t="str">
        <x:v>ORD-0911</x:v>
      </x:c>
      <x:c r="B915" s="4" t="d">
        <x:v>2025-02-08T00:00:00.000Z</x:v>
      </x:c>
      <x:c r="C915" s="1" t="str">
        <x:v>C-097</x:v>
      </x:c>
      <x:c r="D915" s="1" t="str">
        <x:v>North</x:v>
      </x:c>
      <x:c r="E915" s="1" t="str">
        <x:v>Electronics</x:v>
      </x:c>
      <x:c r="F915" s="1" t="str">
        <x:v>Smartwatch</x:v>
      </x:c>
      <x:c r="G915" s="1" t="n">
        <x:v>4</x:v>
      </x:c>
      <x:c r="H915" s="2" t="n">
        <x:v>4200</x:v>
      </x:c>
      <x:c r="I915" s="3" t="n">
        <x:v>0.25</x:v>
      </x:c>
      <x:c r="J915" s="2" t="n">
        <x:v>3000</x:v>
      </x:c>
      <x:c r="K915" s="2" t="n">
        <x:v>80</x:v>
      </x:c>
      <x:c r="L915" s="2" t="n">
        <x:f>G915*H915</x:f>
        <x:v>16800</x:v>
      </x:c>
      <x:c r="M915" s="2" t="n">
        <x:f>ROUND(L915*(1-I915),2)</x:f>
        <x:v>12600</x:v>
      </x:c>
      <x:c r="N915" s="2" t="n">
        <x:f>G915*J915</x:f>
        <x:v>12000</x:v>
      </x:c>
      <x:c r="O915" s="2" t="n">
        <x:f>M915-N915-K915</x:f>
        <x:v>520</x:v>
      </x:c>
      <x:c r="P915" s="1" t="str">
        <x:f>TEXT(B915,"yyyy-mm")</x:f>
        <x:v>2025-02</x:v>
      </x:c>
    </x:row>
    <x:row r="916">
      <x:c r="A916" s="1" t="str">
        <x:v>ORD-0912</x:v>
      </x:c>
      <x:c r="B916" s="4" t="d">
        <x:v>2025-12-30T00:00:00.000Z</x:v>
      </x:c>
      <x:c r="C916" s="1" t="str">
        <x:v>C-009</x:v>
      </x:c>
      <x:c r="D916" s="1" t="str">
        <x:v>West</x:v>
      </x:c>
      <x:c r="E916" s="1" t="str">
        <x:v>Electronics</x:v>
      </x:c>
      <x:c r="F916" s="1" t="str">
        <x:v>Keyboard</x:v>
      </x:c>
      <x:c r="G916" s="1" t="n">
        <x:v>3</x:v>
      </x:c>
      <x:c r="H916" s="2" t="n">
        <x:v>1500</x:v>
      </x:c>
      <x:c r="I916" s="3" t="n">
        <x:v>0.05</x:v>
      </x:c>
      <x:c r="J916" s="2" t="n">
        <x:v>900</x:v>
      </x:c>
      <x:c r="K916" s="2" t="n">
        <x:v>80</x:v>
      </x:c>
      <x:c r="L916" s="2" t="n">
        <x:f>G916*H916</x:f>
        <x:v>4500</x:v>
      </x:c>
      <x:c r="M916" s="2" t="n">
        <x:f>ROUND(L916*(1-I916),2)</x:f>
        <x:v>4275</x:v>
      </x:c>
      <x:c r="N916" s="2" t="n">
        <x:f>G916*J916</x:f>
        <x:v>2700</x:v>
      </x:c>
      <x:c r="O916" s="2" t="n">
        <x:f>M916-N916-K916</x:f>
        <x:v>1495</x:v>
      </x:c>
      <x:c r="P916" s="1" t="str">
        <x:f>TEXT(B916,"yyyy-mm")</x:f>
        <x:v>2025-12</x:v>
      </x:c>
    </x:row>
    <x:row r="917">
      <x:c r="A917" s="1" t="str">
        <x:v>ORD-0913</x:v>
      </x:c>
      <x:c r="B917" s="4" t="d">
        <x:v>2025-10-29T00:00:00.000Z</x:v>
      </x:c>
      <x:c r="C917" s="1" t="str">
        <x:v>C-268</x:v>
      </x:c>
      <x:c r="D917" s="1" t="str">
        <x:v>East</x:v>
      </x:c>
      <x:c r="E917" s="1" t="str">
        <x:v>Electronics</x:v>
      </x:c>
      <x:c r="F917" s="1" t="str">
        <x:v>Smartwatch</x:v>
      </x:c>
      <x:c r="G917" s="1" t="n">
        <x:v>2</x:v>
      </x:c>
      <x:c r="H917" s="2" t="n">
        <x:v>4200</x:v>
      </x:c>
      <x:c r="I917" s="3" t="n">
        <x:v>0.15</x:v>
      </x:c>
      <x:c r="J917" s="2" t="n">
        <x:v>3000</x:v>
      </x:c>
      <x:c r="K917" s="2" t="n">
        <x:v>120</x:v>
      </x:c>
      <x:c r="L917" s="2" t="n">
        <x:f>G917*H917</x:f>
        <x:v>8400</x:v>
      </x:c>
      <x:c r="M917" s="2" t="n">
        <x:f>ROUND(L917*(1-I917),2)</x:f>
        <x:v>7140</x:v>
      </x:c>
      <x:c r="N917" s="2" t="n">
        <x:f>G917*J917</x:f>
        <x:v>6000</x:v>
      </x:c>
      <x:c r="O917" s="2" t="n">
        <x:f>M917-N917-K917</x:f>
        <x:v>1020</x:v>
      </x:c>
      <x:c r="P917" s="1" t="str">
        <x:f>TEXT(B917,"yyyy-mm")</x:f>
        <x:v>2025-10</x:v>
      </x:c>
    </x:row>
    <x:row r="918">
      <x:c r="A918" s="1" t="str">
        <x:v>ORD-0914</x:v>
      </x:c>
      <x:c r="B918" s="4" t="d">
        <x:v>2025-05-05T00:00:00.000Z</x:v>
      </x:c>
      <x:c r="C918" s="1" t="str">
        <x:v>C-073</x:v>
      </x:c>
      <x:c r="D918" s="1" t="str">
        <x:v>South</x:v>
      </x:c>
      <x:c r="E918" s="1" t="str">
        <x:v>Electronics</x:v>
      </x:c>
      <x:c r="F918" s="1" t="str">
        <x:v>Keyboard</x:v>
      </x:c>
      <x:c r="G918" s="1" t="n">
        <x:v>3</x:v>
      </x:c>
      <x:c r="H918" s="2" t="n">
        <x:v>1500</x:v>
      </x:c>
      <x:c r="I918" s="3" t="n">
        <x:v>0.05</x:v>
      </x:c>
      <x:c r="J918" s="2" t="n">
        <x:v>900</x:v>
      </x:c>
      <x:c r="K918" s="2" t="n">
        <x:v>50</x:v>
      </x:c>
      <x:c r="L918" s="2" t="n">
        <x:f>G918*H918</x:f>
        <x:v>4500</x:v>
      </x:c>
      <x:c r="M918" s="2" t="n">
        <x:f>ROUND(L918*(1-I918),2)</x:f>
        <x:v>4275</x:v>
      </x:c>
      <x:c r="N918" s="2" t="n">
        <x:f>G918*J918</x:f>
        <x:v>2700</x:v>
      </x:c>
      <x:c r="O918" s="2" t="n">
        <x:f>M918-N918-K918</x:f>
        <x:v>1525</x:v>
      </x:c>
      <x:c r="P918" s="1" t="str">
        <x:f>TEXT(B918,"yyyy-mm")</x:f>
        <x:v>2025-05</x:v>
      </x:c>
    </x:row>
    <x:row r="919">
      <x:c r="A919" s="1" t="str">
        <x:v>ORD-0915</x:v>
      </x:c>
      <x:c r="B919" s="4" t="d">
        <x:v>2025-04-23T00:00:00.000Z</x:v>
      </x:c>
      <x:c r="C919" s="1" t="str">
        <x:v>C-058</x:v>
      </x:c>
      <x:c r="D919" s="1" t="str">
        <x:v>North</x:v>
      </x:c>
      <x:c r="E919" s="1" t="str">
        <x:v>Electronics</x:v>
      </x:c>
      <x:c r="F919" s="1" t="str">
        <x:v>Keyboard</x:v>
      </x:c>
      <x:c r="G919" s="1" t="n">
        <x:v>1</x:v>
      </x:c>
      <x:c r="H919" s="2" t="n">
        <x:v>1500</x:v>
      </x:c>
      <x:c r="I919" s="3" t="n">
        <x:v>0.15</x:v>
      </x:c>
      <x:c r="J919" s="2" t="n">
        <x:v>900</x:v>
      </x:c>
      <x:c r="K919" s="2" t="n">
        <x:v>80</x:v>
      </x:c>
      <x:c r="L919" s="2" t="n">
        <x:f>G919*H919</x:f>
        <x:v>1500</x:v>
      </x:c>
      <x:c r="M919" s="2" t="n">
        <x:f>ROUND(L919*(1-I919),2)</x:f>
        <x:v>1275</x:v>
      </x:c>
      <x:c r="N919" s="2" t="n">
        <x:f>G919*J919</x:f>
        <x:v>900</x:v>
      </x:c>
      <x:c r="O919" s="2" t="n">
        <x:f>M919-N919-K919</x:f>
        <x:v>295</x:v>
      </x:c>
      <x:c r="P919" s="1" t="str">
        <x:f>TEXT(B919,"yyyy-mm")</x:f>
        <x:v>2025-04</x:v>
      </x:c>
    </x:row>
    <x:row r="920">
      <x:c r="A920" s="1" t="str">
        <x:v>ORD-0916</x:v>
      </x:c>
      <x:c r="B920" s="4" t="d">
        <x:v>2025-10-04T00:00:00.000Z</x:v>
      </x:c>
      <x:c r="C920" s="1" t="str">
        <x:v>C-017</x:v>
      </x:c>
      <x:c r="D920" s="1" t="str">
        <x:v>North</x:v>
      </x:c>
      <x:c r="E920" s="1" t="str">
        <x:v>Electronics</x:v>
      </x:c>
      <x:c r="F920" s="1" t="str">
        <x:v>Headphones</x:v>
      </x:c>
      <x:c r="G920" s="1" t="n">
        <x:v>4</x:v>
      </x:c>
      <x:c r="H920" s="2" t="n">
        <x:v>2200</x:v>
      </x:c>
      <x:c r="I920" s="3" t="n">
        <x:v>0.05</x:v>
      </x:c>
      <x:c r="J920" s="2" t="n">
        <x:v>1450</x:v>
      </x:c>
      <x:c r="K920" s="2" t="n">
        <x:v>50</x:v>
      </x:c>
      <x:c r="L920" s="2" t="n">
        <x:f>G920*H920</x:f>
        <x:v>8800</x:v>
      </x:c>
      <x:c r="M920" s="2" t="n">
        <x:f>ROUND(L920*(1-I920),2)</x:f>
        <x:v>8360</x:v>
      </x:c>
      <x:c r="N920" s="2" t="n">
        <x:f>G920*J920</x:f>
        <x:v>5800</x:v>
      </x:c>
      <x:c r="O920" s="2" t="n">
        <x:f>M920-N920-K920</x:f>
        <x:v>2510</x:v>
      </x:c>
      <x:c r="P920" s="1" t="str">
        <x:f>TEXT(B920,"yyyy-mm")</x:f>
        <x:v>2025-10</x:v>
      </x:c>
    </x:row>
    <x:row r="921">
      <x:c r="A921" s="1" t="str">
        <x:v>ORD-0917</x:v>
      </x:c>
      <x:c r="B921" s="4" t="d">
        <x:v>2025-12-10T00:00:00.000Z</x:v>
      </x:c>
      <x:c r="C921" s="1" t="str">
        <x:v>C-006</x:v>
      </x:c>
      <x:c r="D921" s="1" t="str">
        <x:v>North</x:v>
      </x:c>
      <x:c r="E921" s="1" t="str">
        <x:v>Electronics</x:v>
      </x:c>
      <x:c r="F921" s="1" t="str">
        <x:v>Headphones</x:v>
      </x:c>
      <x:c r="G921" s="1" t="n">
        <x:v>1</x:v>
      </x:c>
      <x:c r="H921" s="2" t="n">
        <x:v>2200</x:v>
      </x:c>
      <x:c r="I921" s="3" t="n">
        <x:v>0</x:v>
      </x:c>
      <x:c r="J921" s="2" t="n">
        <x:v>1450</x:v>
      </x:c>
      <x:c r="K921" s="2" t="n">
        <x:v>120</x:v>
      </x:c>
      <x:c r="L921" s="2" t="n">
        <x:f>G921*H921</x:f>
        <x:v>2200</x:v>
      </x:c>
      <x:c r="M921" s="2" t="n">
        <x:f>ROUND(L921*(1-I921),2)</x:f>
        <x:v>2200</x:v>
      </x:c>
      <x:c r="N921" s="2" t="n">
        <x:f>G921*J921</x:f>
        <x:v>1450</x:v>
      </x:c>
      <x:c r="O921" s="2" t="n">
        <x:f>M921-N921-K921</x:f>
        <x:v>630</x:v>
      </x:c>
      <x:c r="P921" s="1" t="str">
        <x:f>TEXT(B921,"yyyy-mm")</x:f>
        <x:v>2025-12</x:v>
      </x:c>
    </x:row>
    <x:row r="922">
      <x:c r="A922" s="1" t="str">
        <x:v>ORD-0918</x:v>
      </x:c>
      <x:c r="B922" s="4" t="d">
        <x:v>2025-04-22T00:00:00.000Z</x:v>
      </x:c>
      <x:c r="C922" s="1" t="str">
        <x:v>C-180</x:v>
      </x:c>
      <x:c r="D922" s="1" t="str">
        <x:v>North</x:v>
      </x:c>
      <x:c r="E922" s="1" t="str">
        <x:v>Fashion</x:v>
      </x:c>
      <x:c r="F922" s="1" t="str">
        <x:v>T-shirt</x:v>
      </x:c>
      <x:c r="G922" s="1" t="n">
        <x:v>1</x:v>
      </x:c>
      <x:c r="H922" s="2" t="n">
        <x:v>700</x:v>
      </x:c>
      <x:c r="I922" s="3" t="n">
        <x:v>0.05</x:v>
      </x:c>
      <x:c r="J922" s="2" t="n">
        <x:v>300</x:v>
      </x:c>
      <x:c r="K922" s="2" t="n">
        <x:v>50</x:v>
      </x:c>
      <x:c r="L922" s="2" t="n">
        <x:f>G922*H922</x:f>
        <x:v>700</x:v>
      </x:c>
      <x:c r="M922" s="2" t="n">
        <x:f>ROUND(L922*(1-I922),2)</x:f>
        <x:v>665</x:v>
      </x:c>
      <x:c r="N922" s="2" t="n">
        <x:f>G922*J922</x:f>
        <x:v>300</x:v>
      </x:c>
      <x:c r="O922" s="2" t="n">
        <x:f>M922-N922-K922</x:f>
        <x:v>315</x:v>
      </x:c>
      <x:c r="P922" s="1" t="str">
        <x:f>TEXT(B922,"yyyy-mm")</x:f>
        <x:v>2025-04</x:v>
      </x:c>
    </x:row>
    <x:row r="923">
      <x:c r="A923" s="1" t="str">
        <x:v>ORD-0919</x:v>
      </x:c>
      <x:c r="B923" s="4" t="d">
        <x:v>2025-11-12T00:00:00.000Z</x:v>
      </x:c>
      <x:c r="C923" s="1" t="str">
        <x:v>C-181</x:v>
      </x:c>
      <x:c r="D923" s="1" t="str">
        <x:v>South</x:v>
      </x:c>
      <x:c r="E923" s="1" t="str">
        <x:v>Fashion</x:v>
      </x:c>
      <x:c r="F923" s="1" t="str">
        <x:v>Sneakers</x:v>
      </x:c>
      <x:c r="G923" s="1" t="n">
        <x:v>2</x:v>
      </x:c>
      <x:c r="H923" s="2" t="n">
        <x:v>2400</x:v>
      </x:c>
      <x:c r="I923" s="3" t="n">
        <x:v>0.25</x:v>
      </x:c>
      <x:c r="J923" s="2" t="n">
        <x:v>1200</x:v>
      </x:c>
      <x:c r="K923" s="2" t="n">
        <x:v>120</x:v>
      </x:c>
      <x:c r="L923" s="2" t="n">
        <x:f>G923*H923</x:f>
        <x:v>4800</x:v>
      </x:c>
      <x:c r="M923" s="2" t="n">
        <x:f>ROUND(L923*(1-I923),2)</x:f>
        <x:v>3600</x:v>
      </x:c>
      <x:c r="N923" s="2" t="n">
        <x:f>G923*J923</x:f>
        <x:v>2400</x:v>
      </x:c>
      <x:c r="O923" s="2" t="n">
        <x:f>M923-N923-K923</x:f>
        <x:v>1080</x:v>
      </x:c>
      <x:c r="P923" s="1" t="str">
        <x:f>TEXT(B923,"yyyy-mm")</x:f>
        <x:v>2025-11</x:v>
      </x:c>
    </x:row>
    <x:row r="924">
      <x:c r="A924" s="1" t="str">
        <x:v>ORD-0920</x:v>
      </x:c>
      <x:c r="B924" s="4" t="d">
        <x:v>2025-08-25T00:00:00.000Z</x:v>
      </x:c>
      <x:c r="C924" s="1" t="str">
        <x:v>C-008</x:v>
      </x:c>
      <x:c r="D924" s="1" t="str">
        <x:v>South</x:v>
      </x:c>
      <x:c r="E924" s="1" t="str">
        <x:v>Electronics</x:v>
      </x:c>
      <x:c r="F924" s="1" t="str">
        <x:v>Keyboard</x:v>
      </x:c>
      <x:c r="G924" s="1" t="n">
        <x:v>2</x:v>
      </x:c>
      <x:c r="H924" s="2" t="n">
        <x:v>1500</x:v>
      </x:c>
      <x:c r="I924" s="3" t="n">
        <x:v>0.25</x:v>
      </x:c>
      <x:c r="J924" s="2" t="n">
        <x:v>900</x:v>
      </x:c>
      <x:c r="K924" s="2" t="n">
        <x:v>80</x:v>
      </x:c>
      <x:c r="L924" s="2" t="n">
        <x:f>G924*H924</x:f>
        <x:v>3000</x:v>
      </x:c>
      <x:c r="M924" s="2" t="n">
        <x:f>ROUND(L924*(1-I924),2)</x:f>
        <x:v>2250</x:v>
      </x:c>
      <x:c r="N924" s="2" t="n">
        <x:f>G924*J924</x:f>
        <x:v>1800</x:v>
      </x:c>
      <x:c r="O924" s="2" t="n">
        <x:f>M924-N924-K924</x:f>
        <x:v>370</x:v>
      </x:c>
      <x:c r="P924" s="1" t="str">
        <x:f>TEXT(B924,"yyyy-mm")</x:f>
        <x:v>2025-08</x:v>
      </x:c>
    </x:row>
    <x:row r="925">
      <x:c r="A925" s="1" t="str">
        <x:v>ORD-0921</x:v>
      </x:c>
      <x:c r="B925" s="4" t="d">
        <x:v>2025-03-24T00:00:00.000Z</x:v>
      </x:c>
      <x:c r="C925" s="1" t="str">
        <x:v>C-051</x:v>
      </x:c>
      <x:c r="D925" s="1" t="str">
        <x:v>South</x:v>
      </x:c>
      <x:c r="E925" s="1" t="str">
        <x:v>Home</x:v>
      </x:c>
      <x:c r="F925" s="1" t="str">
        <x:v>Storage box</x:v>
      </x:c>
      <x:c r="G925" s="1" t="n">
        <x:v>4</x:v>
      </x:c>
      <x:c r="H925" s="2" t="n">
        <x:v>800</x:v>
      </x:c>
      <x:c r="I925" s="3" t="n">
        <x:v>0</x:v>
      </x:c>
      <x:c r="J925" s="2" t="n">
        <x:v>420</x:v>
      </x:c>
      <x:c r="K925" s="2" t="n">
        <x:v>80</x:v>
      </x:c>
      <x:c r="L925" s="2" t="n">
        <x:f>G925*H925</x:f>
        <x:v>3200</x:v>
      </x:c>
      <x:c r="M925" s="2" t="n">
        <x:f>ROUND(L925*(1-I925),2)</x:f>
        <x:v>3200</x:v>
      </x:c>
      <x:c r="N925" s="2" t="n">
        <x:f>G925*J925</x:f>
        <x:v>1680</x:v>
      </x:c>
      <x:c r="O925" s="2" t="n">
        <x:f>M925-N925-K925</x:f>
        <x:v>1440</x:v>
      </x:c>
      <x:c r="P925" s="1" t="str">
        <x:f>TEXT(B925,"yyyy-mm")</x:f>
        <x:v>2025-03</x:v>
      </x:c>
    </x:row>
    <x:row r="926">
      <x:c r="A926" s="1" t="str">
        <x:v>ORD-0922</x:v>
      </x:c>
      <x:c r="B926" s="4" t="d">
        <x:v>2025-10-22T00:00:00.000Z</x:v>
      </x:c>
      <x:c r="C926" s="1" t="str">
        <x:v>C-055</x:v>
      </x:c>
      <x:c r="D926" s="1" t="str">
        <x:v>South</x:v>
      </x:c>
      <x:c r="E926" s="1" t="str">
        <x:v>Electronics</x:v>
      </x:c>
      <x:c r="F926" s="1" t="str">
        <x:v>Smartwatch</x:v>
      </x:c>
      <x:c r="G926" s="1" t="n">
        <x:v>3</x:v>
      </x:c>
      <x:c r="H926" s="2" t="n">
        <x:v>4200</x:v>
      </x:c>
      <x:c r="I926" s="3" t="n">
        <x:v>0.15</x:v>
      </x:c>
      <x:c r="J926" s="2" t="n">
        <x:v>3000</x:v>
      </x:c>
      <x:c r="K926" s="2" t="n">
        <x:v>80</x:v>
      </x:c>
      <x:c r="L926" s="2" t="n">
        <x:f>G926*H926</x:f>
        <x:v>12600</x:v>
      </x:c>
      <x:c r="M926" s="2" t="n">
        <x:f>ROUND(L926*(1-I926),2)</x:f>
        <x:v>10710</x:v>
      </x:c>
      <x:c r="N926" s="2" t="n">
        <x:f>G926*J926</x:f>
        <x:v>9000</x:v>
      </x:c>
      <x:c r="O926" s="2" t="n">
        <x:f>M926-N926-K926</x:f>
        <x:v>1630</x:v>
      </x:c>
      <x:c r="P926" s="1" t="str">
        <x:f>TEXT(B926,"yyyy-mm")</x:f>
        <x:v>2025-10</x:v>
      </x:c>
    </x:row>
    <x:row r="927">
      <x:c r="A927" s="1" t="str">
        <x:v>ORD-0923</x:v>
      </x:c>
      <x:c r="B927" s="4" t="d">
        <x:v>2025-07-14T00:00:00.000Z</x:v>
      </x:c>
      <x:c r="C927" s="1" t="str">
        <x:v>C-058</x:v>
      </x:c>
      <x:c r="D927" s="1" t="str">
        <x:v>East</x:v>
      </x:c>
      <x:c r="E927" s="1" t="str">
        <x:v>Home</x:v>
      </x:c>
      <x:c r="F927" s="1" t="str">
        <x:v>Storage box</x:v>
      </x:c>
      <x:c r="G927" s="1" t="n">
        <x:v>1</x:v>
      </x:c>
      <x:c r="H927" s="2" t="n">
        <x:v>800</x:v>
      </x:c>
      <x:c r="I927" s="3" t="n">
        <x:v>0.05</x:v>
      </x:c>
      <x:c r="J927" s="2" t="n">
        <x:v>420</x:v>
      </x:c>
      <x:c r="K927" s="2" t="n">
        <x:v>80</x:v>
      </x:c>
      <x:c r="L927" s="2" t="n">
        <x:f>G927*H927</x:f>
        <x:v>800</x:v>
      </x:c>
      <x:c r="M927" s="2" t="n">
        <x:f>ROUND(L927*(1-I927),2)</x:f>
        <x:v>760</x:v>
      </x:c>
      <x:c r="N927" s="2" t="n">
        <x:f>G927*J927</x:f>
        <x:v>420</x:v>
      </x:c>
      <x:c r="O927" s="2" t="n">
        <x:f>M927-N927-K927</x:f>
        <x:v>260</x:v>
      </x:c>
      <x:c r="P927" s="1" t="str">
        <x:f>TEXT(B927,"yyyy-mm")</x:f>
        <x:v>2025-07</x:v>
      </x:c>
    </x:row>
    <x:row r="928">
      <x:c r="A928" s="1" t="str">
        <x:v>ORD-0924</x:v>
      </x:c>
      <x:c r="B928" s="4" t="d">
        <x:v>2025-02-25T00:00:00.000Z</x:v>
      </x:c>
      <x:c r="C928" s="1" t="str">
        <x:v>C-185</x:v>
      </x:c>
      <x:c r="D928" s="1" t="str">
        <x:v>East</x:v>
      </x:c>
      <x:c r="E928" s="1" t="str">
        <x:v>Electronics</x:v>
      </x:c>
      <x:c r="F928" s="1" t="str">
        <x:v>Smartwatch</x:v>
      </x:c>
      <x:c r="G928" s="1" t="n">
        <x:v>1</x:v>
      </x:c>
      <x:c r="H928" s="2" t="n">
        <x:v>4200</x:v>
      </x:c>
      <x:c r="I928" s="3" t="n">
        <x:v>0.15</x:v>
      </x:c>
      <x:c r="J928" s="2" t="n">
        <x:v>3000</x:v>
      </x:c>
      <x:c r="K928" s="2" t="n">
        <x:v>50</x:v>
      </x:c>
      <x:c r="L928" s="2" t="n">
        <x:f>G928*H928</x:f>
        <x:v>4200</x:v>
      </x:c>
      <x:c r="M928" s="2" t="n">
        <x:f>ROUND(L928*(1-I928),2)</x:f>
        <x:v>3570</x:v>
      </x:c>
      <x:c r="N928" s="2" t="n">
        <x:f>G928*J928</x:f>
        <x:v>3000</x:v>
      </x:c>
      <x:c r="O928" s="2" t="n">
        <x:f>M928-N928-K928</x:f>
        <x:v>520</x:v>
      </x:c>
      <x:c r="P928" s="1" t="str">
        <x:f>TEXT(B928,"yyyy-mm")</x:f>
        <x:v>2025-02</x:v>
      </x:c>
    </x:row>
    <x:row r="929">
      <x:c r="A929" s="1" t="str">
        <x:v>ORD-0925</x:v>
      </x:c>
      <x:c r="B929" s="4" t="d">
        <x:v>2025-05-10T00:00:00.000Z</x:v>
      </x:c>
      <x:c r="C929" s="1" t="str">
        <x:v>C-234</x:v>
      </x:c>
      <x:c r="D929" s="1" t="str">
        <x:v>East</x:v>
      </x:c>
      <x:c r="E929" s="1" t="str">
        <x:v>Electronics</x:v>
      </x:c>
      <x:c r="F929" s="1" t="str">
        <x:v>Keyboard</x:v>
      </x:c>
      <x:c r="G929" s="1" t="n">
        <x:v>4</x:v>
      </x:c>
      <x:c r="H929" s="2" t="n">
        <x:v>1500</x:v>
      </x:c>
      <x:c r="I929" s="3" t="n">
        <x:v>0.15</x:v>
      </x:c>
      <x:c r="J929" s="2" t="n">
        <x:v>900</x:v>
      </x:c>
      <x:c r="K929" s="2" t="n">
        <x:v>50</x:v>
      </x:c>
      <x:c r="L929" s="2" t="n">
        <x:f>G929*H929</x:f>
        <x:v>6000</x:v>
      </x:c>
      <x:c r="M929" s="2" t="n">
        <x:f>ROUND(L929*(1-I929),2)</x:f>
        <x:v>5100</x:v>
      </x:c>
      <x:c r="N929" s="2" t="n">
        <x:f>G929*J929</x:f>
        <x:v>3600</x:v>
      </x:c>
      <x:c r="O929" s="2" t="n">
        <x:f>M929-N929-K929</x:f>
        <x:v>1450</x:v>
      </x:c>
      <x:c r="P929" s="1" t="str">
        <x:f>TEXT(B929,"yyyy-mm")</x:f>
        <x:v>2025-05</x:v>
      </x:c>
    </x:row>
    <x:row r="930">
      <x:c r="A930" s="1" t="str">
        <x:v>ORD-0926</x:v>
      </x:c>
      <x:c r="B930" s="4" t="d">
        <x:v>2025-08-07T00:00:00.000Z</x:v>
      </x:c>
      <x:c r="C930" s="1" t="str">
        <x:v>C-036</x:v>
      </x:c>
      <x:c r="D930" s="1" t="str">
        <x:v>West</x:v>
      </x:c>
      <x:c r="E930" s="1" t="str">
        <x:v>Fashion</x:v>
      </x:c>
      <x:c r="F930" s="1" t="str">
        <x:v>Sneakers</x:v>
      </x:c>
      <x:c r="G930" s="1" t="n">
        <x:v>3</x:v>
      </x:c>
      <x:c r="H930" s="2" t="n">
        <x:v>2400</x:v>
      </x:c>
      <x:c r="I930" s="3" t="n">
        <x:v>0.15</x:v>
      </x:c>
      <x:c r="J930" s="2" t="n">
        <x:v>1200</x:v>
      </x:c>
      <x:c r="K930" s="2" t="n">
        <x:v>50</x:v>
      </x:c>
      <x:c r="L930" s="2" t="n">
        <x:f>G930*H930</x:f>
        <x:v>7200</x:v>
      </x:c>
      <x:c r="M930" s="2" t="n">
        <x:f>ROUND(L930*(1-I930),2)</x:f>
        <x:v>6120</x:v>
      </x:c>
      <x:c r="N930" s="2" t="n">
        <x:f>G930*J930</x:f>
        <x:v>3600</x:v>
      </x:c>
      <x:c r="O930" s="2" t="n">
        <x:f>M930-N930-K930</x:f>
        <x:v>2470</x:v>
      </x:c>
      <x:c r="P930" s="1" t="str">
        <x:f>TEXT(B930,"yyyy-mm")</x:f>
        <x:v>2025-08</x:v>
      </x:c>
    </x:row>
    <x:row r="931">
      <x:c r="A931" s="1" t="str">
        <x:v>ORD-0927</x:v>
      </x:c>
      <x:c r="B931" s="4" t="d">
        <x:v>2025-01-04T00:00:00.000Z</x:v>
      </x:c>
      <x:c r="C931" s="1" t="str">
        <x:v>C-203</x:v>
      </x:c>
      <x:c r="D931" s="1" t="str">
        <x:v>West</x:v>
      </x:c>
      <x:c r="E931" s="1" t="str">
        <x:v>Home</x:v>
      </x:c>
      <x:c r="F931" s="1" t="str">
        <x:v>Desk lamp</x:v>
      </x:c>
      <x:c r="G931" s="1" t="n">
        <x:v>1</x:v>
      </x:c>
      <x:c r="H931" s="2" t="n">
        <x:v>1100</x:v>
      </x:c>
      <x:c r="I931" s="3" t="n">
        <x:v>0.35</x:v>
      </x:c>
      <x:c r="J931" s="2" t="n">
        <x:v>650</x:v>
      </x:c>
      <x:c r="K931" s="2" t="n">
        <x:v>50</x:v>
      </x:c>
      <x:c r="L931" s="2" t="n">
        <x:f>G931*H931</x:f>
        <x:v>1100</x:v>
      </x:c>
      <x:c r="M931" s="2" t="n">
        <x:f>ROUND(L931*(1-I931),2)</x:f>
        <x:v>715</x:v>
      </x:c>
      <x:c r="N931" s="2" t="n">
        <x:f>G931*J931</x:f>
        <x:v>650</x:v>
      </x:c>
      <x:c r="O931" s="2" t="n">
        <x:f>M931-N931-K931</x:f>
        <x:v>15</x:v>
      </x:c>
      <x:c r="P931" s="1" t="str">
        <x:f>TEXT(B931,"yyyy-mm")</x:f>
        <x:v>2025-01</x:v>
      </x:c>
    </x:row>
    <x:row r="932">
      <x:c r="A932" s="1" t="str">
        <x:v>ORD-0928</x:v>
      </x:c>
      <x:c r="B932" s="4" t="d">
        <x:v>2025-03-19T00:00:00.000Z</x:v>
      </x:c>
      <x:c r="C932" s="1" t="str">
        <x:v>C-053</x:v>
      </x:c>
      <x:c r="D932" s="1" t="str">
        <x:v>South</x:v>
      </x:c>
      <x:c r="E932" s="1" t="str">
        <x:v>Home</x:v>
      </x:c>
      <x:c r="F932" s="1" t="str">
        <x:v>Office chair</x:v>
      </x:c>
      <x:c r="G932" s="1" t="n">
        <x:v>1</x:v>
      </x:c>
      <x:c r="H932" s="2" t="n">
        <x:v>5500</x:v>
      </x:c>
      <x:c r="I932" s="3" t="n">
        <x:v>0.35</x:v>
      </x:c>
      <x:c r="J932" s="2" t="n">
        <x:v>4400</x:v>
      </x:c>
      <x:c r="K932" s="2" t="n">
        <x:v>80</x:v>
      </x:c>
      <x:c r="L932" s="2" t="n">
        <x:f>G932*H932</x:f>
        <x:v>5500</x:v>
      </x:c>
      <x:c r="M932" s="2" t="n">
        <x:f>ROUND(L932*(1-I932),2)</x:f>
        <x:v>3575</x:v>
      </x:c>
      <x:c r="N932" s="2" t="n">
        <x:f>G932*J932</x:f>
        <x:v>4400</x:v>
      </x:c>
      <x:c r="O932" s="2" t="n">
        <x:f>M932-N932-K932</x:f>
        <x:v>-905</x:v>
      </x:c>
      <x:c r="P932" s="1" t="str">
        <x:f>TEXT(B932,"yyyy-mm")</x:f>
        <x:v>2025-03</x:v>
      </x:c>
    </x:row>
    <x:row r="933">
      <x:c r="A933" s="1" t="str">
        <x:v>ORD-0929</x:v>
      </x:c>
      <x:c r="B933" s="4" t="d">
        <x:v>2025-12-20T00:00:00.000Z</x:v>
      </x:c>
      <x:c r="C933" s="1" t="str">
        <x:v>C-207</x:v>
      </x:c>
      <x:c r="D933" s="1" t="str">
        <x:v>North</x:v>
      </x:c>
      <x:c r="E933" s="1" t="str">
        <x:v>Fashion</x:v>
      </x:c>
      <x:c r="F933" s="1" t="str">
        <x:v>Backpack</x:v>
      </x:c>
      <x:c r="G933" s="1" t="n">
        <x:v>2</x:v>
      </x:c>
      <x:c r="H933" s="2" t="n">
        <x:v>1300</x:v>
      </x:c>
      <x:c r="I933" s="3" t="n">
        <x:v>0.05</x:v>
      </x:c>
      <x:c r="J933" s="2" t="n">
        <x:v>650</x:v>
      </x:c>
      <x:c r="K933" s="2" t="n">
        <x:v>80</x:v>
      </x:c>
      <x:c r="L933" s="2" t="n">
        <x:f>G933*H933</x:f>
        <x:v>2600</x:v>
      </x:c>
      <x:c r="M933" s="2" t="n">
        <x:f>ROUND(L933*(1-I933),2)</x:f>
        <x:v>2470</x:v>
      </x:c>
      <x:c r="N933" s="2" t="n">
        <x:f>G933*J933</x:f>
        <x:v>1300</x:v>
      </x:c>
      <x:c r="O933" s="2" t="n">
        <x:f>M933-N933-K933</x:f>
        <x:v>1090</x:v>
      </x:c>
      <x:c r="P933" s="1" t="str">
        <x:f>TEXT(B933,"yyyy-mm")</x:f>
        <x:v>2025-12</x:v>
      </x:c>
    </x:row>
    <x:row r="934">
      <x:c r="A934" s="1" t="str">
        <x:v>ORD-0930</x:v>
      </x:c>
      <x:c r="B934" s="4" t="d">
        <x:v>2025-10-25T00:00:00.000Z</x:v>
      </x:c>
      <x:c r="C934" s="1" t="str">
        <x:v>C-298</x:v>
      </x:c>
      <x:c r="D934" s="1" t="str">
        <x:v>East</x:v>
      </x:c>
      <x:c r="E934" s="1" t="str">
        <x:v>Fashion</x:v>
      </x:c>
      <x:c r="F934" s="1" t="str">
        <x:v>Sneakers</x:v>
      </x:c>
      <x:c r="G934" s="1" t="n">
        <x:v>4</x:v>
      </x:c>
      <x:c r="H934" s="2" t="n">
        <x:v>2400</x:v>
      </x:c>
      <x:c r="I934" s="3" t="n">
        <x:v>0.35</x:v>
      </x:c>
      <x:c r="J934" s="2" t="n">
        <x:v>1200</x:v>
      </x:c>
      <x:c r="K934" s="2" t="n">
        <x:v>80</x:v>
      </x:c>
      <x:c r="L934" s="2" t="n">
        <x:f>G934*H934</x:f>
        <x:v>9600</x:v>
      </x:c>
      <x:c r="M934" s="2" t="n">
        <x:f>ROUND(L934*(1-I934),2)</x:f>
        <x:v>6240</x:v>
      </x:c>
      <x:c r="N934" s="2" t="n">
        <x:f>G934*J934</x:f>
        <x:v>4800</x:v>
      </x:c>
      <x:c r="O934" s="2" t="n">
        <x:f>M934-N934-K934</x:f>
        <x:v>1360</x:v>
      </x:c>
      <x:c r="P934" s="1" t="str">
        <x:f>TEXT(B934,"yyyy-mm")</x:f>
        <x:v>2025-10</x:v>
      </x:c>
    </x:row>
    <x:row r="935">
      <x:c r="A935" s="1" t="str">
        <x:v>ORD-0931</x:v>
      </x:c>
      <x:c r="B935" s="4" t="d">
        <x:v>2025-07-17T00:00:00.000Z</x:v>
      </x:c>
      <x:c r="C935" s="1" t="str">
        <x:v>C-143</x:v>
      </x:c>
      <x:c r="D935" s="1" t="str">
        <x:v>South</x:v>
      </x:c>
      <x:c r="E935" s="1" t="str">
        <x:v>Home</x:v>
      </x:c>
      <x:c r="F935" s="1" t="str">
        <x:v>Office chair</x:v>
      </x:c>
      <x:c r="G935" s="1" t="n">
        <x:v>4</x:v>
      </x:c>
      <x:c r="H935" s="2" t="n">
        <x:v>5500</x:v>
      </x:c>
      <x:c r="I935" s="3" t="n">
        <x:v>0.15</x:v>
      </x:c>
      <x:c r="J935" s="2" t="n">
        <x:v>4400</x:v>
      </x:c>
      <x:c r="K935" s="2" t="n">
        <x:v>50</x:v>
      </x:c>
      <x:c r="L935" s="2" t="n">
        <x:f>G935*H935</x:f>
        <x:v>22000</x:v>
      </x:c>
      <x:c r="M935" s="2" t="n">
        <x:f>ROUND(L935*(1-I935),2)</x:f>
        <x:v>18700</x:v>
      </x:c>
      <x:c r="N935" s="2" t="n">
        <x:f>G935*J935</x:f>
        <x:v>17600</x:v>
      </x:c>
      <x:c r="O935" s="2" t="n">
        <x:f>M935-N935-K935</x:f>
        <x:v>1050</x:v>
      </x:c>
      <x:c r="P935" s="1" t="str">
        <x:f>TEXT(B935,"yyyy-mm")</x:f>
        <x:v>2025-07</x:v>
      </x:c>
    </x:row>
    <x:row r="936">
      <x:c r="A936" s="1" t="str">
        <x:v>ORD-0932</x:v>
      </x:c>
      <x:c r="B936" s="4" t="d">
        <x:v>2025-02-08T00:00:00.000Z</x:v>
      </x:c>
      <x:c r="C936" s="1" t="str">
        <x:v>C-069</x:v>
      </x:c>
      <x:c r="D936" s="1" t="str">
        <x:v>North</x:v>
      </x:c>
      <x:c r="E936" s="1" t="str">
        <x:v>Home</x:v>
      </x:c>
      <x:c r="F936" s="1" t="str">
        <x:v>Desk lamp</x:v>
      </x:c>
      <x:c r="G936" s="1" t="n">
        <x:v>1</x:v>
      </x:c>
      <x:c r="H936" s="2" t="n">
        <x:v>1100</x:v>
      </x:c>
      <x:c r="I936" s="3" t="n">
        <x:v>0.15</x:v>
      </x:c>
      <x:c r="J936" s="2" t="n">
        <x:v>650</x:v>
      </x:c>
      <x:c r="K936" s="2" t="n">
        <x:v>120</x:v>
      </x:c>
      <x:c r="L936" s="2" t="n">
        <x:f>G936*H936</x:f>
        <x:v>1100</x:v>
      </x:c>
      <x:c r="M936" s="2" t="n">
        <x:f>ROUND(L936*(1-I936),2)</x:f>
        <x:v>935</x:v>
      </x:c>
      <x:c r="N936" s="2" t="n">
        <x:f>G936*J936</x:f>
        <x:v>650</x:v>
      </x:c>
      <x:c r="O936" s="2" t="n">
        <x:f>M936-N936-K936</x:f>
        <x:v>165</x:v>
      </x:c>
      <x:c r="P936" s="1" t="str">
        <x:f>TEXT(B936,"yyyy-mm")</x:f>
        <x:v>2025-02</x:v>
      </x:c>
    </x:row>
    <x:row r="937">
      <x:c r="A937" s="1" t="str">
        <x:v>ORD-0933</x:v>
      </x:c>
      <x:c r="B937" s="4" t="d">
        <x:v>2025-01-22T00:00:00.000Z</x:v>
      </x:c>
      <x:c r="C937" s="1" t="str">
        <x:v>C-014</x:v>
      </x:c>
      <x:c r="D937" s="1" t="str">
        <x:v>South</x:v>
      </x:c>
      <x:c r="E937" s="1" t="str">
        <x:v>Electronics</x:v>
      </x:c>
      <x:c r="F937" s="1" t="str">
        <x:v>Keyboard</x:v>
      </x:c>
      <x:c r="G937" s="1" t="n">
        <x:v>4</x:v>
      </x:c>
      <x:c r="H937" s="2" t="n">
        <x:v>1500</x:v>
      </x:c>
      <x:c r="I937" s="3" t="n">
        <x:v>0.15</x:v>
      </x:c>
      <x:c r="J937" s="2" t="n">
        <x:v>900</x:v>
      </x:c>
      <x:c r="K937" s="2" t="n">
        <x:v>120</x:v>
      </x:c>
      <x:c r="L937" s="2" t="n">
        <x:f>G937*H937</x:f>
        <x:v>6000</x:v>
      </x:c>
      <x:c r="M937" s="2" t="n">
        <x:f>ROUND(L937*(1-I937),2)</x:f>
        <x:v>5100</x:v>
      </x:c>
      <x:c r="N937" s="2" t="n">
        <x:f>G937*J937</x:f>
        <x:v>3600</x:v>
      </x:c>
      <x:c r="O937" s="2" t="n">
        <x:f>M937-N937-K937</x:f>
        <x:v>1380</x:v>
      </x:c>
      <x:c r="P937" s="1" t="str">
        <x:f>TEXT(B937,"yyyy-mm")</x:f>
        <x:v>2025-01</x:v>
      </x:c>
    </x:row>
    <x:row r="938">
      <x:c r="A938" s="1" t="str">
        <x:v>ORD-0934</x:v>
      </x:c>
      <x:c r="B938" s="4" t="d">
        <x:v>2025-10-20T00:00:00.000Z</x:v>
      </x:c>
      <x:c r="C938" s="1" t="str">
        <x:v>C-050</x:v>
      </x:c>
      <x:c r="D938" s="1" t="str">
        <x:v>North</x:v>
      </x:c>
      <x:c r="E938" s="1" t="str">
        <x:v>Electronics</x:v>
      </x:c>
      <x:c r="F938" s="1" t="str">
        <x:v>Smartwatch</x:v>
      </x:c>
      <x:c r="G938" s="1" t="n">
        <x:v>4</x:v>
      </x:c>
      <x:c r="H938" s="2" t="n">
        <x:v>4200</x:v>
      </x:c>
      <x:c r="I938" s="3" t="n">
        <x:v>0.1</x:v>
      </x:c>
      <x:c r="J938" s="2" t="n">
        <x:v>3000</x:v>
      </x:c>
      <x:c r="K938" s="2" t="n">
        <x:v>80</x:v>
      </x:c>
      <x:c r="L938" s="2" t="n">
        <x:f>G938*H938</x:f>
        <x:v>16800</x:v>
      </x:c>
      <x:c r="M938" s="2" t="n">
        <x:f>ROUND(L938*(1-I938),2)</x:f>
        <x:v>15120</x:v>
      </x:c>
      <x:c r="N938" s="2" t="n">
        <x:f>G938*J938</x:f>
        <x:v>12000</x:v>
      </x:c>
      <x:c r="O938" s="2" t="n">
        <x:f>M938-N938-K938</x:f>
        <x:v>3040</x:v>
      </x:c>
      <x:c r="P938" s="1" t="str">
        <x:f>TEXT(B938,"yyyy-mm")</x:f>
        <x:v>2025-10</x:v>
      </x:c>
    </x:row>
    <x:row r="939">
      <x:c r="A939" s="1" t="str">
        <x:v>ORD-0935</x:v>
      </x:c>
      <x:c r="B939" s="4" t="d">
        <x:v>2025-04-17T00:00:00.000Z</x:v>
      </x:c>
      <x:c r="C939" s="1" t="str">
        <x:v>C-134</x:v>
      </x:c>
      <x:c r="D939" s="1" t="str">
        <x:v>East</x:v>
      </x:c>
      <x:c r="E939" s="1" t="str">
        <x:v>Home</x:v>
      </x:c>
      <x:c r="F939" s="1" t="str">
        <x:v>Desk lamp</x:v>
      </x:c>
      <x:c r="G939" s="1" t="n">
        <x:v>1</x:v>
      </x:c>
      <x:c r="H939" s="2" t="n">
        <x:v>1100</x:v>
      </x:c>
      <x:c r="I939" s="3" t="n">
        <x:v>0.15</x:v>
      </x:c>
      <x:c r="J939" s="2" t="n">
        <x:v>650</x:v>
      </x:c>
      <x:c r="K939" s="2" t="n">
        <x:v>50</x:v>
      </x:c>
      <x:c r="L939" s="2" t="n">
        <x:f>G939*H939</x:f>
        <x:v>1100</x:v>
      </x:c>
      <x:c r="M939" s="2" t="n">
        <x:f>ROUND(L939*(1-I939),2)</x:f>
        <x:v>935</x:v>
      </x:c>
      <x:c r="N939" s="2" t="n">
        <x:f>G939*J939</x:f>
        <x:v>650</x:v>
      </x:c>
      <x:c r="O939" s="2" t="n">
        <x:f>M939-N939-K939</x:f>
        <x:v>235</x:v>
      </x:c>
      <x:c r="P939" s="1" t="str">
        <x:f>TEXT(B939,"yyyy-mm")</x:f>
        <x:v>2025-04</x:v>
      </x:c>
    </x:row>
    <x:row r="940">
      <x:c r="A940" s="1" t="str">
        <x:v>ORD-0936</x:v>
      </x:c>
      <x:c r="B940" s="4" t="d">
        <x:v>2025-12-15T00:00:00.000Z</x:v>
      </x:c>
      <x:c r="C940" s="1" t="str">
        <x:v>C-162</x:v>
      </x:c>
      <x:c r="D940" s="1" t="str">
        <x:v>West</x:v>
      </x:c>
      <x:c r="E940" s="1" t="str">
        <x:v>Electronics</x:v>
      </x:c>
      <x:c r="F940" s="1" t="str">
        <x:v>Keyboard</x:v>
      </x:c>
      <x:c r="G940" s="1" t="n">
        <x:v>4</x:v>
      </x:c>
      <x:c r="H940" s="2" t="n">
        <x:v>1500</x:v>
      </x:c>
      <x:c r="I940" s="3" t="n">
        <x:v>0.15</x:v>
      </x:c>
      <x:c r="J940" s="2" t="n">
        <x:v>900</x:v>
      </x:c>
      <x:c r="K940" s="2" t="n">
        <x:v>80</x:v>
      </x:c>
      <x:c r="L940" s="2" t="n">
        <x:f>G940*H940</x:f>
        <x:v>6000</x:v>
      </x:c>
      <x:c r="M940" s="2" t="n">
        <x:f>ROUND(L940*(1-I940),2)</x:f>
        <x:v>5100</x:v>
      </x:c>
      <x:c r="N940" s="2" t="n">
        <x:f>G940*J940</x:f>
        <x:v>3600</x:v>
      </x:c>
      <x:c r="O940" s="2" t="n">
        <x:f>M940-N940-K940</x:f>
        <x:v>1420</x:v>
      </x:c>
      <x:c r="P940" s="1" t="str">
        <x:f>TEXT(B940,"yyyy-mm")</x:f>
        <x:v>2025-12</x:v>
      </x:c>
    </x:row>
    <x:row r="941">
      <x:c r="A941" s="1" t="str">
        <x:v>ORD-0937</x:v>
      </x:c>
      <x:c r="B941" s="4" t="d">
        <x:v>2025-01-22T00:00:00.000Z</x:v>
      </x:c>
      <x:c r="C941" s="1" t="str">
        <x:v>C-156</x:v>
      </x:c>
      <x:c r="D941" s="1" t="str">
        <x:v>South</x:v>
      </x:c>
      <x:c r="E941" s="1" t="str">
        <x:v>Electronics</x:v>
      </x:c>
      <x:c r="F941" s="1" t="str">
        <x:v>Smartwatch</x:v>
      </x:c>
      <x:c r="G941" s="1" t="n">
        <x:v>4</x:v>
      </x:c>
      <x:c r="H941" s="2" t="n">
        <x:v>4200</x:v>
      </x:c>
      <x:c r="I941" s="3" t="n">
        <x:v>0.25</x:v>
      </x:c>
      <x:c r="J941" s="2" t="n">
        <x:v>3000</x:v>
      </x:c>
      <x:c r="K941" s="2" t="n">
        <x:v>80</x:v>
      </x:c>
      <x:c r="L941" s="2" t="n">
        <x:f>G941*H941</x:f>
        <x:v>16800</x:v>
      </x:c>
      <x:c r="M941" s="2" t="n">
        <x:f>ROUND(L941*(1-I941),2)</x:f>
        <x:v>12600</x:v>
      </x:c>
      <x:c r="N941" s="2" t="n">
        <x:f>G941*J941</x:f>
        <x:v>12000</x:v>
      </x:c>
      <x:c r="O941" s="2" t="n">
        <x:f>M941-N941-K941</x:f>
        <x:v>520</x:v>
      </x:c>
      <x:c r="P941" s="1" t="str">
        <x:f>TEXT(B941,"yyyy-mm")</x:f>
        <x:v>2025-01</x:v>
      </x:c>
    </x:row>
    <x:row r="942">
      <x:c r="A942" s="1" t="str">
        <x:v>ORD-0938</x:v>
      </x:c>
      <x:c r="B942" s="4" t="d">
        <x:v>2025-03-25T00:00:00.000Z</x:v>
      </x:c>
      <x:c r="C942" s="1" t="str">
        <x:v>C-057</x:v>
      </x:c>
      <x:c r="D942" s="1" t="str">
        <x:v>West</x:v>
      </x:c>
      <x:c r="E942" s="1" t="str">
        <x:v>Home</x:v>
      </x:c>
      <x:c r="F942" s="1" t="str">
        <x:v>Office chair</x:v>
      </x:c>
      <x:c r="G942" s="1" t="n">
        <x:v>4</x:v>
      </x:c>
      <x:c r="H942" s="2" t="n">
        <x:v>5500</x:v>
      </x:c>
      <x:c r="I942" s="3" t="n">
        <x:v>0.15</x:v>
      </x:c>
      <x:c r="J942" s="2" t="n">
        <x:v>4400</x:v>
      </x:c>
      <x:c r="K942" s="2" t="n">
        <x:v>80</x:v>
      </x:c>
      <x:c r="L942" s="2" t="n">
        <x:f>G942*H942</x:f>
        <x:v>22000</x:v>
      </x:c>
      <x:c r="M942" s="2" t="n">
        <x:f>ROUND(L942*(1-I942),2)</x:f>
        <x:v>18700</x:v>
      </x:c>
      <x:c r="N942" s="2" t="n">
        <x:f>G942*J942</x:f>
        <x:v>17600</x:v>
      </x:c>
      <x:c r="O942" s="2" t="n">
        <x:f>M942-N942-K942</x:f>
        <x:v>1020</x:v>
      </x:c>
      <x:c r="P942" s="1" t="str">
        <x:f>TEXT(B942,"yyyy-mm")</x:f>
        <x:v>2025-03</x:v>
      </x:c>
    </x:row>
    <x:row r="943">
      <x:c r="A943" s="1" t="str">
        <x:v>ORD-0939</x:v>
      </x:c>
      <x:c r="B943" s="4" t="d">
        <x:v>2025-08-02T00:00:00.000Z</x:v>
      </x:c>
      <x:c r="C943" s="1" t="str">
        <x:v>C-201</x:v>
      </x:c>
      <x:c r="D943" s="1" t="str">
        <x:v>East</x:v>
      </x:c>
      <x:c r="E943" s="1" t="str">
        <x:v>Electronics</x:v>
      </x:c>
      <x:c r="F943" s="1" t="str">
        <x:v>Smartwatch</x:v>
      </x:c>
      <x:c r="G943" s="1" t="n">
        <x:v>4</x:v>
      </x:c>
      <x:c r="H943" s="2" t="n">
        <x:v>4200</x:v>
      </x:c>
      <x:c r="I943" s="3" t="n">
        <x:v>0.25</x:v>
      </x:c>
      <x:c r="J943" s="2" t="n">
        <x:v>3000</x:v>
      </x:c>
      <x:c r="K943" s="2" t="n">
        <x:v>120</x:v>
      </x:c>
      <x:c r="L943" s="2" t="n">
        <x:f>G943*H943</x:f>
        <x:v>16800</x:v>
      </x:c>
      <x:c r="M943" s="2" t="n">
        <x:f>ROUND(L943*(1-I943),2)</x:f>
        <x:v>12600</x:v>
      </x:c>
      <x:c r="N943" s="2" t="n">
        <x:f>G943*J943</x:f>
        <x:v>12000</x:v>
      </x:c>
      <x:c r="O943" s="2" t="n">
        <x:f>M943-N943-K943</x:f>
        <x:v>480</x:v>
      </x:c>
      <x:c r="P943" s="1" t="str">
        <x:f>TEXT(B943,"yyyy-mm")</x:f>
        <x:v>2025-08</x:v>
      </x:c>
    </x:row>
    <x:row r="944">
      <x:c r="A944" s="1" t="str">
        <x:v>ORD-0940</x:v>
      </x:c>
      <x:c r="B944" s="4" t="d">
        <x:v>2025-12-11T00:00:00.000Z</x:v>
      </x:c>
      <x:c r="C944" s="1" t="str">
        <x:v>C-032</x:v>
      </x:c>
      <x:c r="D944" s="1" t="str">
        <x:v>North</x:v>
      </x:c>
      <x:c r="E944" s="1" t="str">
        <x:v>Fashion</x:v>
      </x:c>
      <x:c r="F944" s="1" t="str">
        <x:v>Backpack</x:v>
      </x:c>
      <x:c r="G944" s="1" t="n">
        <x:v>1</x:v>
      </x:c>
      <x:c r="H944" s="2" t="n">
        <x:v>1300</x:v>
      </x:c>
      <x:c r="I944" s="3" t="n">
        <x:v>0.1</x:v>
      </x:c>
      <x:c r="J944" s="2" t="n">
        <x:v>650</x:v>
      </x:c>
      <x:c r="K944" s="2" t="n">
        <x:v>50</x:v>
      </x:c>
      <x:c r="L944" s="2" t="n">
        <x:f>G944*H944</x:f>
        <x:v>1300</x:v>
      </x:c>
      <x:c r="M944" s="2" t="n">
        <x:f>ROUND(L944*(1-I944),2)</x:f>
        <x:v>1170</x:v>
      </x:c>
      <x:c r="N944" s="2" t="n">
        <x:f>G944*J944</x:f>
        <x:v>650</x:v>
      </x:c>
      <x:c r="O944" s="2" t="n">
        <x:f>M944-N944-K944</x:f>
        <x:v>470</x:v>
      </x:c>
      <x:c r="P944" s="1" t="str">
        <x:f>TEXT(B944,"yyyy-mm")</x:f>
        <x:v>2025-12</x:v>
      </x:c>
    </x:row>
    <x:row r="945">
      <x:c r="A945" s="1" t="str">
        <x:v>ORD-0941</x:v>
      </x:c>
      <x:c r="B945" s="4" t="d">
        <x:v>2025-11-19T00:00:00.000Z</x:v>
      </x:c>
      <x:c r="C945" s="1" t="str">
        <x:v>C-014</x:v>
      </x:c>
      <x:c r="D945" s="1" t="str">
        <x:v>East</x:v>
      </x:c>
      <x:c r="E945" s="1" t="str">
        <x:v>Fashion</x:v>
      </x:c>
      <x:c r="F945" s="1" t="str">
        <x:v>Backpack</x:v>
      </x:c>
      <x:c r="G945" s="1" t="n">
        <x:v>4</x:v>
      </x:c>
      <x:c r="H945" s="2" t="n">
        <x:v>1300</x:v>
      </x:c>
      <x:c r="I945" s="3" t="n">
        <x:v>0.35</x:v>
      </x:c>
      <x:c r="J945" s="2" t="n">
        <x:v>650</x:v>
      </x:c>
      <x:c r="K945" s="2" t="n">
        <x:v>50</x:v>
      </x:c>
      <x:c r="L945" s="2" t="n">
        <x:f>G945*H945</x:f>
        <x:v>5200</x:v>
      </x:c>
      <x:c r="M945" s="2" t="n">
        <x:f>ROUND(L945*(1-I945),2)</x:f>
        <x:v>3380</x:v>
      </x:c>
      <x:c r="N945" s="2" t="n">
        <x:f>G945*J945</x:f>
        <x:v>2600</x:v>
      </x:c>
      <x:c r="O945" s="2" t="n">
        <x:f>M945-N945-K945</x:f>
        <x:v>730</x:v>
      </x:c>
      <x:c r="P945" s="1" t="str">
        <x:f>TEXT(B945,"yyyy-mm")</x:f>
        <x:v>2025-11</x:v>
      </x:c>
    </x:row>
    <x:row r="946">
      <x:c r="A946" s="1" t="str">
        <x:v>ORD-0942</x:v>
      </x:c>
      <x:c r="B946" s="4" t="d">
        <x:v>2025-07-12T00:00:00.000Z</x:v>
      </x:c>
      <x:c r="C946" s="1" t="str">
        <x:v>C-029</x:v>
      </x:c>
      <x:c r="D946" s="1" t="str">
        <x:v>South</x:v>
      </x:c>
      <x:c r="E946" s="1" t="str">
        <x:v>Fashion</x:v>
      </x:c>
      <x:c r="F946" s="1" t="str">
        <x:v>Backpack</x:v>
      </x:c>
      <x:c r="G946" s="1" t="n">
        <x:v>2</x:v>
      </x:c>
      <x:c r="H946" s="2" t="n">
        <x:v>1300</x:v>
      </x:c>
      <x:c r="I946" s="3" t="n">
        <x:v>0.15</x:v>
      </x:c>
      <x:c r="J946" s="2" t="n">
        <x:v>650</x:v>
      </x:c>
      <x:c r="K946" s="2" t="n">
        <x:v>50</x:v>
      </x:c>
      <x:c r="L946" s="2" t="n">
        <x:f>G946*H946</x:f>
        <x:v>2600</x:v>
      </x:c>
      <x:c r="M946" s="2" t="n">
        <x:f>ROUND(L946*(1-I946),2)</x:f>
        <x:v>2210</x:v>
      </x:c>
      <x:c r="N946" s="2" t="n">
        <x:f>G946*J946</x:f>
        <x:v>1300</x:v>
      </x:c>
      <x:c r="O946" s="2" t="n">
        <x:f>M946-N946-K946</x:f>
        <x:v>860</x:v>
      </x:c>
      <x:c r="P946" s="1" t="str">
        <x:f>TEXT(B946,"yyyy-mm")</x:f>
        <x:v>2025-07</x:v>
      </x:c>
    </x:row>
    <x:row r="947">
      <x:c r="A947" s="1" t="str">
        <x:v>ORD-0943</x:v>
      </x:c>
      <x:c r="B947" s="4" t="d">
        <x:v>2025-09-03T00:00:00.000Z</x:v>
      </x:c>
      <x:c r="C947" s="1" t="str">
        <x:v>C-157</x:v>
      </x:c>
      <x:c r="D947" s="1" t="str">
        <x:v>North</x:v>
      </x:c>
      <x:c r="E947" s="1" t="str">
        <x:v>Electronics</x:v>
      </x:c>
      <x:c r="F947" s="1" t="str">
        <x:v>Keyboard</x:v>
      </x:c>
      <x:c r="G947" s="1" t="n">
        <x:v>3</x:v>
      </x:c>
      <x:c r="H947" s="2" t="n">
        <x:v>1500</x:v>
      </x:c>
      <x:c r="I947" s="3" t="n">
        <x:v>0.35</x:v>
      </x:c>
      <x:c r="J947" s="2" t="n">
        <x:v>900</x:v>
      </x:c>
      <x:c r="K947" s="2" t="n">
        <x:v>50</x:v>
      </x:c>
      <x:c r="L947" s="2" t="n">
        <x:f>G947*H947</x:f>
        <x:v>4500</x:v>
      </x:c>
      <x:c r="M947" s="2" t="n">
        <x:f>ROUND(L947*(1-I947),2)</x:f>
        <x:v>2925</x:v>
      </x:c>
      <x:c r="N947" s="2" t="n">
        <x:f>G947*J947</x:f>
        <x:v>2700</x:v>
      </x:c>
      <x:c r="O947" s="2" t="n">
        <x:f>M947-N947-K947</x:f>
        <x:v>175</x:v>
      </x:c>
      <x:c r="P947" s="1" t="str">
        <x:f>TEXT(B947,"yyyy-mm")</x:f>
        <x:v>2025-09</x:v>
      </x:c>
    </x:row>
    <x:row r="948">
      <x:c r="A948" s="1" t="str">
        <x:v>ORD-0944</x:v>
      </x:c>
      <x:c r="B948" s="4" t="d">
        <x:v>2025-01-15T00:00:00.000Z</x:v>
      </x:c>
      <x:c r="C948" s="1" t="str">
        <x:v>C-217</x:v>
      </x:c>
      <x:c r="D948" s="1" t="str">
        <x:v>West</x:v>
      </x:c>
      <x:c r="E948" s="1" t="str">
        <x:v>Fashion</x:v>
      </x:c>
      <x:c r="F948" s="1" t="str">
        <x:v>Backpack</x:v>
      </x:c>
      <x:c r="G948" s="1" t="n">
        <x:v>3</x:v>
      </x:c>
      <x:c r="H948" s="2" t="n">
        <x:v>1300</x:v>
      </x:c>
      <x:c r="I948" s="3" t="n">
        <x:v>0</x:v>
      </x:c>
      <x:c r="J948" s="2" t="n">
        <x:v>650</x:v>
      </x:c>
      <x:c r="K948" s="2" t="n">
        <x:v>50</x:v>
      </x:c>
      <x:c r="L948" s="2" t="n">
        <x:f>G948*H948</x:f>
        <x:v>3900</x:v>
      </x:c>
      <x:c r="M948" s="2" t="n">
        <x:f>ROUND(L948*(1-I948),2)</x:f>
        <x:v>3900</x:v>
      </x:c>
      <x:c r="N948" s="2" t="n">
        <x:f>G948*J948</x:f>
        <x:v>1950</x:v>
      </x:c>
      <x:c r="O948" s="2" t="n">
        <x:f>M948-N948-K948</x:f>
        <x:v>1900</x:v>
      </x:c>
      <x:c r="P948" s="1" t="str">
        <x:f>TEXT(B948,"yyyy-mm")</x:f>
        <x:v>2025-01</x:v>
      </x:c>
    </x:row>
    <x:row r="949">
      <x:c r="A949" s="1" t="str">
        <x:v>ORD-0945</x:v>
      </x:c>
      <x:c r="B949" s="4" t="d">
        <x:v>2025-10-13T00:00:00.000Z</x:v>
      </x:c>
      <x:c r="C949" s="1" t="str">
        <x:v>C-293</x:v>
      </x:c>
      <x:c r="D949" s="1" t="str">
        <x:v>West</x:v>
      </x:c>
      <x:c r="E949" s="1" t="str">
        <x:v>Electronics</x:v>
      </x:c>
      <x:c r="F949" s="1" t="str">
        <x:v>Headphones</x:v>
      </x:c>
      <x:c r="G949" s="1" t="n">
        <x:v>3</x:v>
      </x:c>
      <x:c r="H949" s="2" t="n">
        <x:v>2200</x:v>
      </x:c>
      <x:c r="I949" s="3" t="n">
        <x:v>0.1</x:v>
      </x:c>
      <x:c r="J949" s="2" t="n">
        <x:v>1450</x:v>
      </x:c>
      <x:c r="K949" s="2" t="n">
        <x:v>120</x:v>
      </x:c>
      <x:c r="L949" s="2" t="n">
        <x:f>G949*H949</x:f>
        <x:v>6600</x:v>
      </x:c>
      <x:c r="M949" s="2" t="n">
        <x:f>ROUND(L949*(1-I949),2)</x:f>
        <x:v>5940</x:v>
      </x:c>
      <x:c r="N949" s="2" t="n">
        <x:f>G949*J949</x:f>
        <x:v>4350</x:v>
      </x:c>
      <x:c r="O949" s="2" t="n">
        <x:f>M949-N949-K949</x:f>
        <x:v>1470</x:v>
      </x:c>
      <x:c r="P949" s="1" t="str">
        <x:f>TEXT(B949,"yyyy-mm")</x:f>
        <x:v>2025-10</x:v>
      </x:c>
    </x:row>
    <x:row r="950">
      <x:c r="A950" s="1" t="str">
        <x:v>ORD-0946</x:v>
      </x:c>
      <x:c r="B950" s="4" t="d">
        <x:v>2025-02-23T00:00:00.000Z</x:v>
      </x:c>
      <x:c r="C950" s="1" t="str">
        <x:v>C-106</x:v>
      </x:c>
      <x:c r="D950" s="1" t="str">
        <x:v>East</x:v>
      </x:c>
      <x:c r="E950" s="1" t="str">
        <x:v>Home</x:v>
      </x:c>
      <x:c r="F950" s="1" t="str">
        <x:v>Desk lamp</x:v>
      </x:c>
      <x:c r="G950" s="1" t="n">
        <x:v>4</x:v>
      </x:c>
      <x:c r="H950" s="2" t="n">
        <x:v>1100</x:v>
      </x:c>
      <x:c r="I950" s="3" t="n">
        <x:v>0</x:v>
      </x:c>
      <x:c r="J950" s="2" t="n">
        <x:v>650</x:v>
      </x:c>
      <x:c r="K950" s="2" t="n">
        <x:v>120</x:v>
      </x:c>
      <x:c r="L950" s="2" t="n">
        <x:f>G950*H950</x:f>
        <x:v>4400</x:v>
      </x:c>
      <x:c r="M950" s="2" t="n">
        <x:f>ROUND(L950*(1-I950),2)</x:f>
        <x:v>4400</x:v>
      </x:c>
      <x:c r="N950" s="2" t="n">
        <x:f>G950*J950</x:f>
        <x:v>2600</x:v>
      </x:c>
      <x:c r="O950" s="2" t="n">
        <x:f>M950-N950-K950</x:f>
        <x:v>1680</x:v>
      </x:c>
      <x:c r="P950" s="1" t="str">
        <x:f>TEXT(B950,"yyyy-mm")</x:f>
        <x:v>2025-02</x:v>
      </x:c>
    </x:row>
    <x:row r="951">
      <x:c r="A951" s="1" t="str">
        <x:v>ORD-0947</x:v>
      </x:c>
      <x:c r="B951" s="4" t="d">
        <x:v>2025-11-20T00:00:00.000Z</x:v>
      </x:c>
      <x:c r="C951" s="1" t="str">
        <x:v>C-154</x:v>
      </x:c>
      <x:c r="D951" s="1" t="str">
        <x:v>East</x:v>
      </x:c>
      <x:c r="E951" s="1" t="str">
        <x:v>Fashion</x:v>
      </x:c>
      <x:c r="F951" s="1" t="str">
        <x:v>Backpack</x:v>
      </x:c>
      <x:c r="G951" s="1" t="n">
        <x:v>4</x:v>
      </x:c>
      <x:c r="H951" s="2" t="n">
        <x:v>1300</x:v>
      </x:c>
      <x:c r="I951" s="3" t="n">
        <x:v>0.05</x:v>
      </x:c>
      <x:c r="J951" s="2" t="n">
        <x:v>650</x:v>
      </x:c>
      <x:c r="K951" s="2" t="n">
        <x:v>50</x:v>
      </x:c>
      <x:c r="L951" s="2" t="n">
        <x:f>G951*H951</x:f>
        <x:v>5200</x:v>
      </x:c>
      <x:c r="M951" s="2" t="n">
        <x:f>ROUND(L951*(1-I951),2)</x:f>
        <x:v>4940</x:v>
      </x:c>
      <x:c r="N951" s="2" t="n">
        <x:f>G951*J951</x:f>
        <x:v>2600</x:v>
      </x:c>
      <x:c r="O951" s="2" t="n">
        <x:f>M951-N951-K951</x:f>
        <x:v>2290</x:v>
      </x:c>
      <x:c r="P951" s="1" t="str">
        <x:f>TEXT(B951,"yyyy-mm")</x:f>
        <x:v>2025-11</x:v>
      </x:c>
    </x:row>
    <x:row r="952">
      <x:c r="A952" s="1" t="str">
        <x:v>ORD-0948</x:v>
      </x:c>
      <x:c r="B952" s="4" t="d">
        <x:v>2025-08-07T00:00:00.000Z</x:v>
      </x:c>
      <x:c r="C952" s="1" t="str">
        <x:v>C-148</x:v>
      </x:c>
      <x:c r="D952" s="1" t="str">
        <x:v>East</x:v>
      </x:c>
      <x:c r="E952" s="1" t="str">
        <x:v>Electronics</x:v>
      </x:c>
      <x:c r="F952" s="1" t="str">
        <x:v>Keyboard</x:v>
      </x:c>
      <x:c r="G952" s="1" t="n">
        <x:v>1</x:v>
      </x:c>
      <x:c r="H952" s="2" t="n">
        <x:v>1500</x:v>
      </x:c>
      <x:c r="I952" s="3" t="n">
        <x:v>0.25</x:v>
      </x:c>
      <x:c r="J952" s="2" t="n">
        <x:v>900</x:v>
      </x:c>
      <x:c r="K952" s="2" t="n">
        <x:v>80</x:v>
      </x:c>
      <x:c r="L952" s="2" t="n">
        <x:f>G952*H952</x:f>
        <x:v>1500</x:v>
      </x:c>
      <x:c r="M952" s="2" t="n">
        <x:f>ROUND(L952*(1-I952),2)</x:f>
        <x:v>1125</x:v>
      </x:c>
      <x:c r="N952" s="2" t="n">
        <x:f>G952*J952</x:f>
        <x:v>900</x:v>
      </x:c>
      <x:c r="O952" s="2" t="n">
        <x:f>M952-N952-K952</x:f>
        <x:v>145</x:v>
      </x:c>
      <x:c r="P952" s="1" t="str">
        <x:f>TEXT(B952,"yyyy-mm")</x:f>
        <x:v>2025-08</x:v>
      </x:c>
    </x:row>
    <x:row r="953">
      <x:c r="A953" s="1" t="str">
        <x:v>ORD-0949</x:v>
      </x:c>
      <x:c r="B953" s="4" t="d">
        <x:v>2025-12-20T00:00:00.000Z</x:v>
      </x:c>
      <x:c r="C953" s="1" t="str">
        <x:v>C-048</x:v>
      </x:c>
      <x:c r="D953" s="1" t="str">
        <x:v>North</x:v>
      </x:c>
      <x:c r="E953" s="1" t="str">
        <x:v>Home</x:v>
      </x:c>
      <x:c r="F953" s="1" t="str">
        <x:v>Office chair</x:v>
      </x:c>
      <x:c r="G953" s="1" t="n">
        <x:v>3</x:v>
      </x:c>
      <x:c r="H953" s="2" t="n">
        <x:v>5500</x:v>
      </x:c>
      <x:c r="I953" s="3" t="n">
        <x:v>0.05</x:v>
      </x:c>
      <x:c r="J953" s="2" t="n">
        <x:v>4400</x:v>
      </x:c>
      <x:c r="K953" s="2" t="n">
        <x:v>80</x:v>
      </x:c>
      <x:c r="L953" s="2" t="n">
        <x:f>G953*H953</x:f>
        <x:v>16500</x:v>
      </x:c>
      <x:c r="M953" s="2" t="n">
        <x:f>ROUND(L953*(1-I953),2)</x:f>
        <x:v>15675</x:v>
      </x:c>
      <x:c r="N953" s="2" t="n">
        <x:f>G953*J953</x:f>
        <x:v>13200</x:v>
      </x:c>
      <x:c r="O953" s="2" t="n">
        <x:f>M953-N953-K953</x:f>
        <x:v>2395</x:v>
      </x:c>
      <x:c r="P953" s="1" t="str">
        <x:f>TEXT(B953,"yyyy-mm")</x:f>
        <x:v>2025-12</x:v>
      </x:c>
    </x:row>
    <x:row r="954">
      <x:c r="A954" s="1" t="str">
        <x:v>ORD-0950</x:v>
      </x:c>
      <x:c r="B954" s="4" t="d">
        <x:v>2025-02-14T00:00:00.000Z</x:v>
      </x:c>
      <x:c r="C954" s="1" t="str">
        <x:v>C-108</x:v>
      </x:c>
      <x:c r="D954" s="1" t="str">
        <x:v>East</x:v>
      </x:c>
      <x:c r="E954" s="1" t="str">
        <x:v>Home</x:v>
      </x:c>
      <x:c r="F954" s="1" t="str">
        <x:v>Storage box</x:v>
      </x:c>
      <x:c r="G954" s="1" t="n">
        <x:v>1</x:v>
      </x:c>
      <x:c r="H954" s="2" t="n">
        <x:v>800</x:v>
      </x:c>
      <x:c r="I954" s="3" t="n">
        <x:v>0.15</x:v>
      </x:c>
      <x:c r="J954" s="2" t="n">
        <x:v>420</x:v>
      </x:c>
      <x:c r="K954" s="2" t="n">
        <x:v>120</x:v>
      </x:c>
      <x:c r="L954" s="2" t="n">
        <x:f>G954*H954</x:f>
        <x:v>800</x:v>
      </x:c>
      <x:c r="M954" s="2" t="n">
        <x:f>ROUND(L954*(1-I954),2)</x:f>
        <x:v>680</x:v>
      </x:c>
      <x:c r="N954" s="2" t="n">
        <x:f>G954*J954</x:f>
        <x:v>420</x:v>
      </x:c>
      <x:c r="O954" s="2" t="n">
        <x:f>M954-N954-K954</x:f>
        <x:v>140</x:v>
      </x:c>
      <x:c r="P954" s="1" t="str">
        <x:f>TEXT(B954,"yyyy-mm")</x:f>
        <x:v>2025-02</x:v>
      </x:c>
    </x:row>
    <x:row r="955">
      <x:c r="A955" s="1" t="str">
        <x:v>ORD-0951</x:v>
      </x:c>
      <x:c r="B955" s="4" t="d">
        <x:v>2025-11-14T00:00:00.000Z</x:v>
      </x:c>
      <x:c r="C955" s="1" t="str">
        <x:v>C-277</x:v>
      </x:c>
      <x:c r="D955" s="1" t="str">
        <x:v>East</x:v>
      </x:c>
      <x:c r="E955" s="1" t="str">
        <x:v>Home</x:v>
      </x:c>
      <x:c r="F955" s="1" t="str">
        <x:v>Storage box</x:v>
      </x:c>
      <x:c r="G955" s="1" t="n">
        <x:v>2</x:v>
      </x:c>
      <x:c r="H955" s="2" t="n">
        <x:v>800</x:v>
      </x:c>
      <x:c r="I955" s="3" t="n">
        <x:v>0.1</x:v>
      </x:c>
      <x:c r="J955" s="2" t="n">
        <x:v>420</x:v>
      </x:c>
      <x:c r="K955" s="2" t="n">
        <x:v>80</x:v>
      </x:c>
      <x:c r="L955" s="2" t="n">
        <x:f>G955*H955</x:f>
        <x:v>1600</x:v>
      </x:c>
      <x:c r="M955" s="2" t="n">
        <x:f>ROUND(L955*(1-I955),2)</x:f>
        <x:v>1440</x:v>
      </x:c>
      <x:c r="N955" s="2" t="n">
        <x:f>G955*J955</x:f>
        <x:v>840</x:v>
      </x:c>
      <x:c r="O955" s="2" t="n">
        <x:f>M955-N955-K955</x:f>
        <x:v>520</x:v>
      </x:c>
      <x:c r="P955" s="1" t="str">
        <x:f>TEXT(B955,"yyyy-mm")</x:f>
        <x:v>2025-11</x:v>
      </x:c>
    </x:row>
    <x:row r="956">
      <x:c r="A956" s="1" t="str">
        <x:v>ORD-0952</x:v>
      </x:c>
      <x:c r="B956" s="4" t="d">
        <x:v>2025-06-22T00:00:00.000Z</x:v>
      </x:c>
      <x:c r="C956" s="1" t="str">
        <x:v>C-281</x:v>
      </x:c>
      <x:c r="D956" s="1" t="str">
        <x:v>South</x:v>
      </x:c>
      <x:c r="E956" s="1" t="str">
        <x:v>Home</x:v>
      </x:c>
      <x:c r="F956" s="1" t="str">
        <x:v>Storage box</x:v>
      </x:c>
      <x:c r="G956" s="1" t="n">
        <x:v>1</x:v>
      </x:c>
      <x:c r="H956" s="2" t="n">
        <x:v>800</x:v>
      </x:c>
      <x:c r="I956" s="3" t="n">
        <x:v>0.15</x:v>
      </x:c>
      <x:c r="J956" s="2" t="n">
        <x:v>420</x:v>
      </x:c>
      <x:c r="K956" s="2" t="n">
        <x:v>120</x:v>
      </x:c>
      <x:c r="L956" s="2" t="n">
        <x:f>G956*H956</x:f>
        <x:v>800</x:v>
      </x:c>
      <x:c r="M956" s="2" t="n">
        <x:f>ROUND(L956*(1-I956),2)</x:f>
        <x:v>680</x:v>
      </x:c>
      <x:c r="N956" s="2" t="n">
        <x:f>G956*J956</x:f>
        <x:v>420</x:v>
      </x:c>
      <x:c r="O956" s="2" t="n">
        <x:f>M956-N956-K956</x:f>
        <x:v>140</x:v>
      </x:c>
      <x:c r="P956" s="1" t="str">
        <x:f>TEXT(B956,"yyyy-mm")</x:f>
        <x:v>2025-06</x:v>
      </x:c>
    </x:row>
    <x:row r="957">
      <x:c r="A957" s="1" t="str">
        <x:v>ORD-0953</x:v>
      </x:c>
      <x:c r="B957" s="4" t="d">
        <x:v>2025-10-16T00:00:00.000Z</x:v>
      </x:c>
      <x:c r="C957" s="1" t="str">
        <x:v>C-110</x:v>
      </x:c>
      <x:c r="D957" s="1" t="str">
        <x:v>West</x:v>
      </x:c>
      <x:c r="E957" s="1" t="str">
        <x:v>Electronics</x:v>
      </x:c>
      <x:c r="F957" s="1" t="str">
        <x:v>Smartwatch</x:v>
      </x:c>
      <x:c r="G957" s="1" t="n">
        <x:v>3</x:v>
      </x:c>
      <x:c r="H957" s="2" t="n">
        <x:v>4200</x:v>
      </x:c>
      <x:c r="I957" s="3" t="n">
        <x:v>0.25</x:v>
      </x:c>
      <x:c r="J957" s="2" t="n">
        <x:v>3000</x:v>
      </x:c>
      <x:c r="K957" s="2" t="n">
        <x:v>120</x:v>
      </x:c>
      <x:c r="L957" s="2" t="n">
        <x:f>G957*H957</x:f>
        <x:v>12600</x:v>
      </x:c>
      <x:c r="M957" s="2" t="n">
        <x:f>ROUND(L957*(1-I957),2)</x:f>
        <x:v>9450</x:v>
      </x:c>
      <x:c r="N957" s="2" t="n">
        <x:f>G957*J957</x:f>
        <x:v>9000</x:v>
      </x:c>
      <x:c r="O957" s="2" t="n">
        <x:f>M957-N957-K957</x:f>
        <x:v>330</x:v>
      </x:c>
      <x:c r="P957" s="1" t="str">
        <x:f>TEXT(B957,"yyyy-mm")</x:f>
        <x:v>2025-10</x:v>
      </x:c>
    </x:row>
    <x:row r="958">
      <x:c r="A958" s="1" t="str">
        <x:v>ORD-0954</x:v>
      </x:c>
      <x:c r="B958" s="4" t="d">
        <x:v>2025-08-24T00:00:00.000Z</x:v>
      </x:c>
      <x:c r="C958" s="1" t="str">
        <x:v>C-031</x:v>
      </x:c>
      <x:c r="D958" s="1" t="str">
        <x:v>South</x:v>
      </x:c>
      <x:c r="E958" s="1" t="str">
        <x:v>Home</x:v>
      </x:c>
      <x:c r="F958" s="1" t="str">
        <x:v>Office chair</x:v>
      </x:c>
      <x:c r="G958" s="1" t="n">
        <x:v>3</x:v>
      </x:c>
      <x:c r="H958" s="2" t="n">
        <x:v>5500</x:v>
      </x:c>
      <x:c r="I958" s="3" t="n">
        <x:v>0.25</x:v>
      </x:c>
      <x:c r="J958" s="2" t="n">
        <x:v>4400</x:v>
      </x:c>
      <x:c r="K958" s="2" t="n">
        <x:v>80</x:v>
      </x:c>
      <x:c r="L958" s="2" t="n">
        <x:f>G958*H958</x:f>
        <x:v>16500</x:v>
      </x:c>
      <x:c r="M958" s="2" t="n">
        <x:f>ROUND(L958*(1-I958),2)</x:f>
        <x:v>12375</x:v>
      </x:c>
      <x:c r="N958" s="2" t="n">
        <x:f>G958*J958</x:f>
        <x:v>13200</x:v>
      </x:c>
      <x:c r="O958" s="2" t="n">
        <x:f>M958-N958-K958</x:f>
        <x:v>-905</x:v>
      </x:c>
      <x:c r="P958" s="1" t="str">
        <x:f>TEXT(B958,"yyyy-mm")</x:f>
        <x:v>2025-08</x:v>
      </x:c>
    </x:row>
    <x:row r="959">
      <x:c r="A959" s="1" t="str">
        <x:v>ORD-0955</x:v>
      </x:c>
      <x:c r="B959" s="4" t="d">
        <x:v>2025-03-22T00:00:00.000Z</x:v>
      </x:c>
      <x:c r="C959" s="1" t="str">
        <x:v>C-154</x:v>
      </x:c>
      <x:c r="D959" s="1" t="str">
        <x:v>West</x:v>
      </x:c>
      <x:c r="E959" s="1" t="str">
        <x:v>Electronics</x:v>
      </x:c>
      <x:c r="F959" s="1" t="str">
        <x:v>Smartwatch</x:v>
      </x:c>
      <x:c r="G959" s="1" t="n">
        <x:v>4</x:v>
      </x:c>
      <x:c r="H959" s="2" t="n">
        <x:v>4200</x:v>
      </x:c>
      <x:c r="I959" s="3" t="n">
        <x:v>0.35</x:v>
      </x:c>
      <x:c r="J959" s="2" t="n">
        <x:v>3000</x:v>
      </x:c>
      <x:c r="K959" s="2" t="n">
        <x:v>80</x:v>
      </x:c>
      <x:c r="L959" s="2" t="n">
        <x:f>G959*H959</x:f>
        <x:v>16800</x:v>
      </x:c>
      <x:c r="M959" s="2" t="n">
        <x:f>ROUND(L959*(1-I959),2)</x:f>
        <x:v>10920</x:v>
      </x:c>
      <x:c r="N959" s="2" t="n">
        <x:f>G959*J959</x:f>
        <x:v>12000</x:v>
      </x:c>
      <x:c r="O959" s="2" t="n">
        <x:f>M959-N959-K959</x:f>
        <x:v>-1160</x:v>
      </x:c>
      <x:c r="P959" s="1" t="str">
        <x:f>TEXT(B959,"yyyy-mm")</x:f>
        <x:v>2025-03</x:v>
      </x:c>
    </x:row>
    <x:row r="960">
      <x:c r="A960" s="1" t="str">
        <x:v>ORD-0956</x:v>
      </x:c>
      <x:c r="B960" s="4" t="d">
        <x:v>2025-11-07T00:00:00.000Z</x:v>
      </x:c>
      <x:c r="C960" s="1" t="str">
        <x:v>C-212</x:v>
      </x:c>
      <x:c r="D960" s="1" t="str">
        <x:v>East</x:v>
      </x:c>
      <x:c r="E960" s="1" t="str">
        <x:v>Electronics</x:v>
      </x:c>
      <x:c r="F960" s="1" t="str">
        <x:v>Keyboard</x:v>
      </x:c>
      <x:c r="G960" s="1" t="n">
        <x:v>3</x:v>
      </x:c>
      <x:c r="H960" s="2" t="n">
        <x:v>1500</x:v>
      </x:c>
      <x:c r="I960" s="3" t="n">
        <x:v>0.35</x:v>
      </x:c>
      <x:c r="J960" s="2" t="n">
        <x:v>900</x:v>
      </x:c>
      <x:c r="K960" s="2" t="n">
        <x:v>120</x:v>
      </x:c>
      <x:c r="L960" s="2" t="n">
        <x:f>G960*H960</x:f>
        <x:v>4500</x:v>
      </x:c>
      <x:c r="M960" s="2" t="n">
        <x:f>ROUND(L960*(1-I960),2)</x:f>
        <x:v>2925</x:v>
      </x:c>
      <x:c r="N960" s="2" t="n">
        <x:f>G960*J960</x:f>
        <x:v>2700</x:v>
      </x:c>
      <x:c r="O960" s="2" t="n">
        <x:f>M960-N960-K960</x:f>
        <x:v>105</x:v>
      </x:c>
      <x:c r="P960" s="1" t="str">
        <x:f>TEXT(B960,"yyyy-mm")</x:f>
        <x:v>2025-11</x:v>
      </x:c>
    </x:row>
    <x:row r="961">
      <x:c r="A961" s="1" t="str">
        <x:v>ORD-0957</x:v>
      </x:c>
      <x:c r="B961" s="4" t="d">
        <x:v>2025-03-08T00:00:00.000Z</x:v>
      </x:c>
      <x:c r="C961" s="1" t="str">
        <x:v>C-059</x:v>
      </x:c>
      <x:c r="D961" s="1" t="str">
        <x:v>South</x:v>
      </x:c>
      <x:c r="E961" s="1" t="str">
        <x:v>Fashion</x:v>
      </x:c>
      <x:c r="F961" s="1" t="str">
        <x:v>T-shirt</x:v>
      </x:c>
      <x:c r="G961" s="1" t="n">
        <x:v>2</x:v>
      </x:c>
      <x:c r="H961" s="2" t="n">
        <x:v>700</x:v>
      </x:c>
      <x:c r="I961" s="3" t="n">
        <x:v>0.15</x:v>
      </x:c>
      <x:c r="J961" s="2" t="n">
        <x:v>300</x:v>
      </x:c>
      <x:c r="K961" s="2" t="n">
        <x:v>50</x:v>
      </x:c>
      <x:c r="L961" s="2" t="n">
        <x:f>G961*H961</x:f>
        <x:v>1400</x:v>
      </x:c>
      <x:c r="M961" s="2" t="n">
        <x:f>ROUND(L961*(1-I961),2)</x:f>
        <x:v>1190</x:v>
      </x:c>
      <x:c r="N961" s="2" t="n">
        <x:f>G961*J961</x:f>
        <x:v>600</x:v>
      </x:c>
      <x:c r="O961" s="2" t="n">
        <x:f>M961-N961-K961</x:f>
        <x:v>540</x:v>
      </x:c>
      <x:c r="P961" s="1" t="str">
        <x:f>TEXT(B961,"yyyy-mm")</x:f>
        <x:v>2025-03</x:v>
      </x:c>
    </x:row>
    <x:row r="962">
      <x:c r="A962" s="1" t="str">
        <x:v>ORD-0958</x:v>
      </x:c>
      <x:c r="B962" s="4" t="d">
        <x:v>2025-04-16T00:00:00.000Z</x:v>
      </x:c>
      <x:c r="C962" s="1" t="str">
        <x:v>C-287</x:v>
      </x:c>
      <x:c r="D962" s="1" t="str">
        <x:v>West</x:v>
      </x:c>
      <x:c r="E962" s="1" t="str">
        <x:v>Fashion</x:v>
      </x:c>
      <x:c r="F962" s="1" t="str">
        <x:v>Sneakers</x:v>
      </x:c>
      <x:c r="G962" s="1" t="n">
        <x:v>4</x:v>
      </x:c>
      <x:c r="H962" s="2" t="n">
        <x:v>2400</x:v>
      </x:c>
      <x:c r="I962" s="3" t="n">
        <x:v>0.15</x:v>
      </x:c>
      <x:c r="J962" s="2" t="n">
        <x:v>1200</x:v>
      </x:c>
      <x:c r="K962" s="2" t="n">
        <x:v>120</x:v>
      </x:c>
      <x:c r="L962" s="2" t="n">
        <x:f>G962*H962</x:f>
        <x:v>9600</x:v>
      </x:c>
      <x:c r="M962" s="2" t="n">
        <x:f>ROUND(L962*(1-I962),2)</x:f>
        <x:v>8160</x:v>
      </x:c>
      <x:c r="N962" s="2" t="n">
        <x:f>G962*J962</x:f>
        <x:v>4800</x:v>
      </x:c>
      <x:c r="O962" s="2" t="n">
        <x:f>M962-N962-K962</x:f>
        <x:v>3240</x:v>
      </x:c>
      <x:c r="P962" s="1" t="str">
        <x:f>TEXT(B962,"yyyy-mm")</x:f>
        <x:v>2025-04</x:v>
      </x:c>
    </x:row>
    <x:row r="963">
      <x:c r="A963" s="1" t="str">
        <x:v>ORD-0959</x:v>
      </x:c>
      <x:c r="B963" s="4" t="d">
        <x:v>2025-12-09T00:00:00.000Z</x:v>
      </x:c>
      <x:c r="C963" s="1" t="str">
        <x:v>C-070</x:v>
      </x:c>
      <x:c r="D963" s="1" t="str">
        <x:v>North</x:v>
      </x:c>
      <x:c r="E963" s="1" t="str">
        <x:v>Fashion</x:v>
      </x:c>
      <x:c r="F963" s="1" t="str">
        <x:v>T-shirt</x:v>
      </x:c>
      <x:c r="G963" s="1" t="n">
        <x:v>3</x:v>
      </x:c>
      <x:c r="H963" s="2" t="n">
        <x:v>700</x:v>
      </x:c>
      <x:c r="I963" s="3" t="n">
        <x:v>0.05</x:v>
      </x:c>
      <x:c r="J963" s="2" t="n">
        <x:v>300</x:v>
      </x:c>
      <x:c r="K963" s="2" t="n">
        <x:v>80</x:v>
      </x:c>
      <x:c r="L963" s="2" t="n">
        <x:f>G963*H963</x:f>
        <x:v>2100</x:v>
      </x:c>
      <x:c r="M963" s="2" t="n">
        <x:f>ROUND(L963*(1-I963),2)</x:f>
        <x:v>1995</x:v>
      </x:c>
      <x:c r="N963" s="2" t="n">
        <x:f>G963*J963</x:f>
        <x:v>900</x:v>
      </x:c>
      <x:c r="O963" s="2" t="n">
        <x:f>M963-N963-K963</x:f>
        <x:v>1015</x:v>
      </x:c>
      <x:c r="P963" s="1" t="str">
        <x:f>TEXT(B963,"yyyy-mm")</x:f>
        <x:v>2025-12</x:v>
      </x:c>
    </x:row>
    <x:row r="964">
      <x:c r="A964" s="1" t="str">
        <x:v>ORD-0960</x:v>
      </x:c>
      <x:c r="B964" s="4" t="d">
        <x:v>2025-10-28T00:00:00.000Z</x:v>
      </x:c>
      <x:c r="C964" s="1" t="str">
        <x:v>C-022</x:v>
      </x:c>
      <x:c r="D964" s="1" t="str">
        <x:v>West</x:v>
      </x:c>
      <x:c r="E964" s="1" t="str">
        <x:v>Electronics</x:v>
      </x:c>
      <x:c r="F964" s="1" t="str">
        <x:v>Smartwatch</x:v>
      </x:c>
      <x:c r="G964" s="1" t="n">
        <x:v>1</x:v>
      </x:c>
      <x:c r="H964" s="2" t="n">
        <x:v>4200</x:v>
      </x:c>
      <x:c r="I964" s="3" t="n">
        <x:v>0.35</x:v>
      </x:c>
      <x:c r="J964" s="2" t="n">
        <x:v>3000</x:v>
      </x:c>
      <x:c r="K964" s="2" t="n">
        <x:v>50</x:v>
      </x:c>
      <x:c r="L964" s="2" t="n">
        <x:f>G964*H964</x:f>
        <x:v>4200</x:v>
      </x:c>
      <x:c r="M964" s="2" t="n">
        <x:f>ROUND(L964*(1-I964),2)</x:f>
        <x:v>2730</x:v>
      </x:c>
      <x:c r="N964" s="2" t="n">
        <x:f>G964*J964</x:f>
        <x:v>3000</x:v>
      </x:c>
      <x:c r="O964" s="2" t="n">
        <x:f>M964-N964-K964</x:f>
        <x:v>-320</x:v>
      </x:c>
      <x:c r="P964" s="1" t="str">
        <x:f>TEXT(B964,"yyyy-mm")</x:f>
        <x:v>2025-10</x:v>
      </x:c>
    </x:row>
    <x:row r="965">
      <x:c r="A965" s="1" t="str">
        <x:v>ORD-0961</x:v>
      </x:c>
      <x:c r="B965" s="4" t="d">
        <x:v>2025-11-20T00:00:00.000Z</x:v>
      </x:c>
      <x:c r="C965" s="1" t="str">
        <x:v>C-153</x:v>
      </x:c>
      <x:c r="D965" s="1" t="str">
        <x:v>North</x:v>
      </x:c>
      <x:c r="E965" s="1" t="str">
        <x:v>Electronics</x:v>
      </x:c>
      <x:c r="F965" s="1" t="str">
        <x:v>Keyboard</x:v>
      </x:c>
      <x:c r="G965" s="1" t="n">
        <x:v>4</x:v>
      </x:c>
      <x:c r="H965" s="2" t="n">
        <x:v>1500</x:v>
      </x:c>
      <x:c r="I965" s="3" t="n">
        <x:v>0.1</x:v>
      </x:c>
      <x:c r="J965" s="2" t="n">
        <x:v>900</x:v>
      </x:c>
      <x:c r="K965" s="2" t="n">
        <x:v>80</x:v>
      </x:c>
      <x:c r="L965" s="2" t="n">
        <x:f>G965*H965</x:f>
        <x:v>6000</x:v>
      </x:c>
      <x:c r="M965" s="2" t="n">
        <x:f>ROUND(L965*(1-I965),2)</x:f>
        <x:v>5400</x:v>
      </x:c>
      <x:c r="N965" s="2" t="n">
        <x:f>G965*J965</x:f>
        <x:v>3600</x:v>
      </x:c>
      <x:c r="O965" s="2" t="n">
        <x:f>M965-N965-K965</x:f>
        <x:v>1720</x:v>
      </x:c>
      <x:c r="P965" s="1" t="str">
        <x:f>TEXT(B965,"yyyy-mm")</x:f>
        <x:v>2025-11</x:v>
      </x:c>
    </x:row>
    <x:row r="966">
      <x:c r="A966" s="1" t="str">
        <x:v>ORD-0962</x:v>
      </x:c>
      <x:c r="B966" s="4" t="d">
        <x:v>2025-10-31T00:00:00.000Z</x:v>
      </x:c>
      <x:c r="C966" s="1" t="str">
        <x:v>C-072</x:v>
      </x:c>
      <x:c r="D966" s="1" t="str">
        <x:v>South</x:v>
      </x:c>
      <x:c r="E966" s="1" t="str">
        <x:v>Electronics</x:v>
      </x:c>
      <x:c r="F966" s="1" t="str">
        <x:v>Keyboard</x:v>
      </x:c>
      <x:c r="G966" s="1" t="n">
        <x:v>1</x:v>
      </x:c>
      <x:c r="H966" s="2" t="n">
        <x:v>1500</x:v>
      </x:c>
      <x:c r="I966" s="3" t="n">
        <x:v>0.15</x:v>
      </x:c>
      <x:c r="J966" s="2" t="n">
        <x:v>900</x:v>
      </x:c>
      <x:c r="K966" s="2" t="n">
        <x:v>120</x:v>
      </x:c>
      <x:c r="L966" s="2" t="n">
        <x:f>G966*H966</x:f>
        <x:v>1500</x:v>
      </x:c>
      <x:c r="M966" s="2" t="n">
        <x:f>ROUND(L966*(1-I966),2)</x:f>
        <x:v>1275</x:v>
      </x:c>
      <x:c r="N966" s="2" t="n">
        <x:f>G966*J966</x:f>
        <x:v>900</x:v>
      </x:c>
      <x:c r="O966" s="2" t="n">
        <x:f>M966-N966-K966</x:f>
        <x:v>255</x:v>
      </x:c>
      <x:c r="P966" s="1" t="str">
        <x:f>TEXT(B966,"yyyy-mm")</x:f>
        <x:v>2025-10</x:v>
      </x:c>
    </x:row>
    <x:row r="967">
      <x:c r="A967" s="1" t="str">
        <x:v>ORD-0963</x:v>
      </x:c>
      <x:c r="B967" s="4" t="d">
        <x:v>2025-10-22T00:00:00.000Z</x:v>
      </x:c>
      <x:c r="C967" s="1" t="str">
        <x:v>C-298</x:v>
      </x:c>
      <x:c r="D967" s="1" t="str">
        <x:v>East</x:v>
      </x:c>
      <x:c r="E967" s="1" t="str">
        <x:v>Electronics</x:v>
      </x:c>
      <x:c r="F967" s="1" t="str">
        <x:v>Keyboard</x:v>
      </x:c>
      <x:c r="G967" s="1" t="n">
        <x:v>4</x:v>
      </x:c>
      <x:c r="H967" s="2" t="n">
        <x:v>1500</x:v>
      </x:c>
      <x:c r="I967" s="3" t="n">
        <x:v>0.25</x:v>
      </x:c>
      <x:c r="J967" s="2" t="n">
        <x:v>900</x:v>
      </x:c>
      <x:c r="K967" s="2" t="n">
        <x:v>50</x:v>
      </x:c>
      <x:c r="L967" s="2" t="n">
        <x:f>G967*H967</x:f>
        <x:v>6000</x:v>
      </x:c>
      <x:c r="M967" s="2" t="n">
        <x:f>ROUND(L967*(1-I967),2)</x:f>
        <x:v>4500</x:v>
      </x:c>
      <x:c r="N967" s="2" t="n">
        <x:f>G967*J967</x:f>
        <x:v>3600</x:v>
      </x:c>
      <x:c r="O967" s="2" t="n">
        <x:f>M967-N967-K967</x:f>
        <x:v>850</x:v>
      </x:c>
      <x:c r="P967" s="1" t="str">
        <x:f>TEXT(B967,"yyyy-mm")</x:f>
        <x:v>2025-10</x:v>
      </x:c>
    </x:row>
    <x:row r="968">
      <x:c r="A968" s="1" t="str">
        <x:v>ORD-0964</x:v>
      </x:c>
      <x:c r="B968" s="4" t="d">
        <x:v>2025-04-11T00:00:00.000Z</x:v>
      </x:c>
      <x:c r="C968" s="1" t="str">
        <x:v>C-300</x:v>
      </x:c>
      <x:c r="D968" s="1" t="str">
        <x:v>West</x:v>
      </x:c>
      <x:c r="E968" s="1" t="str">
        <x:v>Electronics</x:v>
      </x:c>
      <x:c r="F968" s="1" t="str">
        <x:v>Keyboard</x:v>
      </x:c>
      <x:c r="G968" s="1" t="n">
        <x:v>2</x:v>
      </x:c>
      <x:c r="H968" s="2" t="n">
        <x:v>1500</x:v>
      </x:c>
      <x:c r="I968" s="3" t="n">
        <x:v>0.1</x:v>
      </x:c>
      <x:c r="J968" s="2" t="n">
        <x:v>900</x:v>
      </x:c>
      <x:c r="K968" s="2" t="n">
        <x:v>80</x:v>
      </x:c>
      <x:c r="L968" s="2" t="n">
        <x:f>G968*H968</x:f>
        <x:v>3000</x:v>
      </x:c>
      <x:c r="M968" s="2" t="n">
        <x:f>ROUND(L968*(1-I968),2)</x:f>
        <x:v>2700</x:v>
      </x:c>
      <x:c r="N968" s="2" t="n">
        <x:f>G968*J968</x:f>
        <x:v>1800</x:v>
      </x:c>
      <x:c r="O968" s="2" t="n">
        <x:f>M968-N968-K968</x:f>
        <x:v>820</x:v>
      </x:c>
      <x:c r="P968" s="1" t="str">
        <x:f>TEXT(B968,"yyyy-mm")</x:f>
        <x:v>2025-04</x:v>
      </x:c>
    </x:row>
    <x:row r="969">
      <x:c r="A969" s="1" t="str">
        <x:v>ORD-0965</x:v>
      </x:c>
      <x:c r="B969" s="4" t="d">
        <x:v>2025-04-07T00:00:00.000Z</x:v>
      </x:c>
      <x:c r="C969" s="1" t="str">
        <x:v>C-141</x:v>
      </x:c>
      <x:c r="D969" s="1" t="str">
        <x:v>West</x:v>
      </x:c>
      <x:c r="E969" s="1" t="str">
        <x:v>Electronics</x:v>
      </x:c>
      <x:c r="F969" s="1" t="str">
        <x:v>Keyboard</x:v>
      </x:c>
      <x:c r="G969" s="1" t="n">
        <x:v>4</x:v>
      </x:c>
      <x:c r="H969" s="2" t="n">
        <x:v>1500</x:v>
      </x:c>
      <x:c r="I969" s="3" t="n">
        <x:v>0.05</x:v>
      </x:c>
      <x:c r="J969" s="2" t="n">
        <x:v>900</x:v>
      </x:c>
      <x:c r="K969" s="2" t="n">
        <x:v>80</x:v>
      </x:c>
      <x:c r="L969" s="2" t="n">
        <x:f>G969*H969</x:f>
        <x:v>6000</x:v>
      </x:c>
      <x:c r="M969" s="2" t="n">
        <x:f>ROUND(L969*(1-I969),2)</x:f>
        <x:v>5700</x:v>
      </x:c>
      <x:c r="N969" s="2" t="n">
        <x:f>G969*J969</x:f>
        <x:v>3600</x:v>
      </x:c>
      <x:c r="O969" s="2" t="n">
        <x:f>M969-N969-K969</x:f>
        <x:v>2020</x:v>
      </x:c>
      <x:c r="P969" s="1" t="str">
        <x:f>TEXT(B969,"yyyy-mm")</x:f>
        <x:v>2025-04</x:v>
      </x:c>
    </x:row>
    <x:row r="970">
      <x:c r="A970" s="1" t="str">
        <x:v>ORD-0966</x:v>
      </x:c>
      <x:c r="B970" s="4" t="d">
        <x:v>2025-11-18T00:00:00.000Z</x:v>
      </x:c>
      <x:c r="C970" s="1" t="str">
        <x:v>C-192</x:v>
      </x:c>
      <x:c r="D970" s="1" t="str">
        <x:v>North</x:v>
      </x:c>
      <x:c r="E970" s="1" t="str">
        <x:v>Electronics</x:v>
      </x:c>
      <x:c r="F970" s="1" t="str">
        <x:v>Headphones</x:v>
      </x:c>
      <x:c r="G970" s="1" t="n">
        <x:v>3</x:v>
      </x:c>
      <x:c r="H970" s="2" t="n">
        <x:v>2200</x:v>
      </x:c>
      <x:c r="I970" s="3" t="n">
        <x:v>0.15</x:v>
      </x:c>
      <x:c r="J970" s="2" t="n">
        <x:v>1450</x:v>
      </x:c>
      <x:c r="K970" s="2" t="n">
        <x:v>120</x:v>
      </x:c>
      <x:c r="L970" s="2" t="n">
        <x:f>G970*H970</x:f>
        <x:v>6600</x:v>
      </x:c>
      <x:c r="M970" s="2" t="n">
        <x:f>ROUND(L970*(1-I970),2)</x:f>
        <x:v>5610</x:v>
      </x:c>
      <x:c r="N970" s="2" t="n">
        <x:f>G970*J970</x:f>
        <x:v>4350</x:v>
      </x:c>
      <x:c r="O970" s="2" t="n">
        <x:f>M970-N970-K970</x:f>
        <x:v>1140</x:v>
      </x:c>
      <x:c r="P970" s="1" t="str">
        <x:f>TEXT(B970,"yyyy-mm")</x:f>
        <x:v>2025-11</x:v>
      </x:c>
    </x:row>
    <x:row r="971">
      <x:c r="A971" s="1" t="str">
        <x:v>ORD-0967</x:v>
      </x:c>
      <x:c r="B971" s="4" t="d">
        <x:v>2025-07-29T00:00:00.000Z</x:v>
      </x:c>
      <x:c r="C971" s="1" t="str">
        <x:v>C-075</x:v>
      </x:c>
      <x:c r="D971" s="1" t="str">
        <x:v>East</x:v>
      </x:c>
      <x:c r="E971" s="1" t="str">
        <x:v>Fashion</x:v>
      </x:c>
      <x:c r="F971" s="1" t="str">
        <x:v>T-shirt</x:v>
      </x:c>
      <x:c r="G971" s="1" t="n">
        <x:v>4</x:v>
      </x:c>
      <x:c r="H971" s="2" t="n">
        <x:v>700</x:v>
      </x:c>
      <x:c r="I971" s="3" t="n">
        <x:v>0.1</x:v>
      </x:c>
      <x:c r="J971" s="2" t="n">
        <x:v>300</x:v>
      </x:c>
      <x:c r="K971" s="2" t="n">
        <x:v>120</x:v>
      </x:c>
      <x:c r="L971" s="2" t="n">
        <x:f>G971*H971</x:f>
        <x:v>2800</x:v>
      </x:c>
      <x:c r="M971" s="2" t="n">
        <x:f>ROUND(L971*(1-I971),2)</x:f>
        <x:v>2520</x:v>
      </x:c>
      <x:c r="N971" s="2" t="n">
        <x:f>G971*J971</x:f>
        <x:v>1200</x:v>
      </x:c>
      <x:c r="O971" s="2" t="n">
        <x:f>M971-N971-K971</x:f>
        <x:v>1200</x:v>
      </x:c>
      <x:c r="P971" s="1" t="str">
        <x:f>TEXT(B971,"yyyy-mm")</x:f>
        <x:v>2025-07</x:v>
      </x:c>
    </x:row>
    <x:row r="972">
      <x:c r="A972" s="1" t="str">
        <x:v>ORD-0968</x:v>
      </x:c>
      <x:c r="B972" s="4" t="d">
        <x:v>2025-06-21T00:00:00.000Z</x:v>
      </x:c>
      <x:c r="C972" s="1" t="str">
        <x:v>C-018</x:v>
      </x:c>
      <x:c r="D972" s="1" t="str">
        <x:v>North</x:v>
      </x:c>
      <x:c r="E972" s="1" t="str">
        <x:v>Fashion</x:v>
      </x:c>
      <x:c r="F972" s="1" t="str">
        <x:v>Sneakers</x:v>
      </x:c>
      <x:c r="G972" s="1" t="n">
        <x:v>2</x:v>
      </x:c>
      <x:c r="H972" s="2" t="n">
        <x:v>2400</x:v>
      </x:c>
      <x:c r="I972" s="3" t="n">
        <x:v>0</x:v>
      </x:c>
      <x:c r="J972" s="2" t="n">
        <x:v>1200</x:v>
      </x:c>
      <x:c r="K972" s="2" t="n">
        <x:v>80</x:v>
      </x:c>
      <x:c r="L972" s="2" t="n">
        <x:f>G972*H972</x:f>
        <x:v>4800</x:v>
      </x:c>
      <x:c r="M972" s="2" t="n">
        <x:f>ROUND(L972*(1-I972),2)</x:f>
        <x:v>4800</x:v>
      </x:c>
      <x:c r="N972" s="2" t="n">
        <x:f>G972*J972</x:f>
        <x:v>2400</x:v>
      </x:c>
      <x:c r="O972" s="2" t="n">
        <x:f>M972-N972-K972</x:f>
        <x:v>2320</x:v>
      </x:c>
      <x:c r="P972" s="1" t="str">
        <x:f>TEXT(B972,"yyyy-mm")</x:f>
        <x:v>2025-06</x:v>
      </x:c>
    </x:row>
    <x:row r="973">
      <x:c r="A973" s="1" t="str">
        <x:v>ORD-0969</x:v>
      </x:c>
      <x:c r="B973" s="4" t="d">
        <x:v>2025-08-31T00:00:00.000Z</x:v>
      </x:c>
      <x:c r="C973" s="1" t="str">
        <x:v>C-186</x:v>
      </x:c>
      <x:c r="D973" s="1" t="str">
        <x:v>North</x:v>
      </x:c>
      <x:c r="E973" s="1" t="str">
        <x:v>Fashion</x:v>
      </x:c>
      <x:c r="F973" s="1" t="str">
        <x:v>Sneakers</x:v>
      </x:c>
      <x:c r="G973" s="1" t="n">
        <x:v>2</x:v>
      </x:c>
      <x:c r="H973" s="2" t="n">
        <x:v>2400</x:v>
      </x:c>
      <x:c r="I973" s="3" t="n">
        <x:v>0.35</x:v>
      </x:c>
      <x:c r="J973" s="2" t="n">
        <x:v>1200</x:v>
      </x:c>
      <x:c r="K973" s="2" t="n">
        <x:v>80</x:v>
      </x:c>
      <x:c r="L973" s="2" t="n">
        <x:f>G973*H973</x:f>
        <x:v>4800</x:v>
      </x:c>
      <x:c r="M973" s="2" t="n">
        <x:f>ROUND(L973*(1-I973),2)</x:f>
        <x:v>3120</x:v>
      </x:c>
      <x:c r="N973" s="2" t="n">
        <x:f>G973*J973</x:f>
        <x:v>2400</x:v>
      </x:c>
      <x:c r="O973" s="2" t="n">
        <x:f>M973-N973-K973</x:f>
        <x:v>640</x:v>
      </x:c>
      <x:c r="P973" s="1" t="str">
        <x:f>TEXT(B973,"yyyy-mm")</x:f>
        <x:v>2025-08</x:v>
      </x:c>
    </x:row>
    <x:row r="974">
      <x:c r="A974" s="1" t="str">
        <x:v>ORD-0970</x:v>
      </x:c>
      <x:c r="B974" s="4" t="d">
        <x:v>2025-06-10T00:00:00.000Z</x:v>
      </x:c>
      <x:c r="C974" s="1" t="str">
        <x:v>C-047</x:v>
      </x:c>
      <x:c r="D974" s="1" t="str">
        <x:v>South</x:v>
      </x:c>
      <x:c r="E974" s="1" t="str">
        <x:v>Home</x:v>
      </x:c>
      <x:c r="F974" s="1" t="str">
        <x:v>Office chair</x:v>
      </x:c>
      <x:c r="G974" s="1" t="n">
        <x:v>3</x:v>
      </x:c>
      <x:c r="H974" s="2" t="n">
        <x:v>5500</x:v>
      </x:c>
      <x:c r="I974" s="3" t="n">
        <x:v>0.1</x:v>
      </x:c>
      <x:c r="J974" s="2" t="n">
        <x:v>4400</x:v>
      </x:c>
      <x:c r="K974" s="2" t="n">
        <x:v>50</x:v>
      </x:c>
      <x:c r="L974" s="2" t="n">
        <x:f>G974*H974</x:f>
        <x:v>16500</x:v>
      </x:c>
      <x:c r="M974" s="2" t="n">
        <x:f>ROUND(L974*(1-I974),2)</x:f>
        <x:v>14850</x:v>
      </x:c>
      <x:c r="N974" s="2" t="n">
        <x:f>G974*J974</x:f>
        <x:v>13200</x:v>
      </x:c>
      <x:c r="O974" s="2" t="n">
        <x:f>M974-N974-K974</x:f>
        <x:v>1600</x:v>
      </x:c>
      <x:c r="P974" s="1" t="str">
        <x:f>TEXT(B974,"yyyy-mm")</x:f>
        <x:v>2025-06</x:v>
      </x:c>
    </x:row>
    <x:row r="975">
      <x:c r="A975" s="1" t="str">
        <x:v>ORD-0971</x:v>
      </x:c>
      <x:c r="B975" s="4" t="d">
        <x:v>2025-11-21T00:00:00.000Z</x:v>
      </x:c>
      <x:c r="C975" s="1" t="str">
        <x:v>C-163</x:v>
      </x:c>
      <x:c r="D975" s="1" t="str">
        <x:v>West</x:v>
      </x:c>
      <x:c r="E975" s="1" t="str">
        <x:v>Electronics</x:v>
      </x:c>
      <x:c r="F975" s="1" t="str">
        <x:v>Smartwatch</x:v>
      </x:c>
      <x:c r="G975" s="1" t="n">
        <x:v>1</x:v>
      </x:c>
      <x:c r="H975" s="2" t="n">
        <x:v>4200</x:v>
      </x:c>
      <x:c r="I975" s="3" t="n">
        <x:v>0.15</x:v>
      </x:c>
      <x:c r="J975" s="2" t="n">
        <x:v>3000</x:v>
      </x:c>
      <x:c r="K975" s="2" t="n">
        <x:v>80</x:v>
      </x:c>
      <x:c r="L975" s="2" t="n">
        <x:f>G975*H975</x:f>
        <x:v>4200</x:v>
      </x:c>
      <x:c r="M975" s="2" t="n">
        <x:f>ROUND(L975*(1-I975),2)</x:f>
        <x:v>3570</x:v>
      </x:c>
      <x:c r="N975" s="2" t="n">
        <x:f>G975*J975</x:f>
        <x:v>3000</x:v>
      </x:c>
      <x:c r="O975" s="2" t="n">
        <x:f>M975-N975-K975</x:f>
        <x:v>490</x:v>
      </x:c>
      <x:c r="P975" s="1" t="str">
        <x:f>TEXT(B975,"yyyy-mm")</x:f>
        <x:v>2025-11</x:v>
      </x:c>
    </x:row>
    <x:row r="976">
      <x:c r="A976" s="1" t="str">
        <x:v>ORD-0972</x:v>
      </x:c>
      <x:c r="B976" s="4" t="d">
        <x:v>2025-11-24T00:00:00.000Z</x:v>
      </x:c>
      <x:c r="C976" s="1" t="str">
        <x:v>C-212</x:v>
      </x:c>
      <x:c r="D976" s="1" t="str">
        <x:v>East</x:v>
      </x:c>
      <x:c r="E976" s="1" t="str">
        <x:v>Home</x:v>
      </x:c>
      <x:c r="F976" s="1" t="str">
        <x:v>Desk lamp</x:v>
      </x:c>
      <x:c r="G976" s="1" t="n">
        <x:v>4</x:v>
      </x:c>
      <x:c r="H976" s="2" t="n">
        <x:v>1100</x:v>
      </x:c>
      <x:c r="I976" s="3" t="n">
        <x:v>0.15</x:v>
      </x:c>
      <x:c r="J976" s="2" t="n">
        <x:v>650</x:v>
      </x:c>
      <x:c r="K976" s="2" t="n">
        <x:v>50</x:v>
      </x:c>
      <x:c r="L976" s="2" t="n">
        <x:f>G976*H976</x:f>
        <x:v>4400</x:v>
      </x:c>
      <x:c r="M976" s="2" t="n">
        <x:f>ROUND(L976*(1-I976),2)</x:f>
        <x:v>3740</x:v>
      </x:c>
      <x:c r="N976" s="2" t="n">
        <x:f>G976*J976</x:f>
        <x:v>2600</x:v>
      </x:c>
      <x:c r="O976" s="2" t="n">
        <x:f>M976-N976-K976</x:f>
        <x:v>1090</x:v>
      </x:c>
      <x:c r="P976" s="1" t="str">
        <x:f>TEXT(B976,"yyyy-mm")</x:f>
        <x:v>2025-11</x:v>
      </x:c>
    </x:row>
    <x:row r="977">
      <x:c r="A977" s="1" t="str">
        <x:v>ORD-0973</x:v>
      </x:c>
      <x:c r="B977" s="4" t="d">
        <x:v>2025-11-03T00:00:00.000Z</x:v>
      </x:c>
      <x:c r="C977" s="1" t="str">
        <x:v>C-181</x:v>
      </x:c>
      <x:c r="D977" s="1" t="str">
        <x:v>West</x:v>
      </x:c>
      <x:c r="E977" s="1" t="str">
        <x:v>Fashion</x:v>
      </x:c>
      <x:c r="F977" s="1" t="str">
        <x:v>Sneakers</x:v>
      </x:c>
      <x:c r="G977" s="1" t="n">
        <x:v>3</x:v>
      </x:c>
      <x:c r="H977" s="2" t="n">
        <x:v>2400</x:v>
      </x:c>
      <x:c r="I977" s="3" t="n">
        <x:v>0.25</x:v>
      </x:c>
      <x:c r="J977" s="2" t="n">
        <x:v>1200</x:v>
      </x:c>
      <x:c r="K977" s="2" t="n">
        <x:v>80</x:v>
      </x:c>
      <x:c r="L977" s="2" t="n">
        <x:f>G977*H977</x:f>
        <x:v>7200</x:v>
      </x:c>
      <x:c r="M977" s="2" t="n">
        <x:f>ROUND(L977*(1-I977),2)</x:f>
        <x:v>5400</x:v>
      </x:c>
      <x:c r="N977" s="2" t="n">
        <x:f>G977*J977</x:f>
        <x:v>3600</x:v>
      </x:c>
      <x:c r="O977" s="2" t="n">
        <x:f>M977-N977-K977</x:f>
        <x:v>1720</x:v>
      </x:c>
      <x:c r="P977" s="1" t="str">
        <x:f>TEXT(B977,"yyyy-mm")</x:f>
        <x:v>2025-11</x:v>
      </x:c>
    </x:row>
    <x:row r="978">
      <x:c r="A978" s="1" t="str">
        <x:v>ORD-0974</x:v>
      </x:c>
      <x:c r="B978" s="4" t="d">
        <x:v>2025-10-21T00:00:00.000Z</x:v>
      </x:c>
      <x:c r="C978" s="1" t="str">
        <x:v>C-095</x:v>
      </x:c>
      <x:c r="D978" s="1" t="str">
        <x:v>West</x:v>
      </x:c>
      <x:c r="E978" s="1" t="str">
        <x:v>Electronics</x:v>
      </x:c>
      <x:c r="F978" s="1" t="str">
        <x:v>Headphones</x:v>
      </x:c>
      <x:c r="G978" s="1" t="n">
        <x:v>2</x:v>
      </x:c>
      <x:c r="H978" s="2" t="n">
        <x:v>2200</x:v>
      </x:c>
      <x:c r="I978" s="3" t="n">
        <x:v>0.35</x:v>
      </x:c>
      <x:c r="J978" s="2" t="n">
        <x:v>1450</x:v>
      </x:c>
      <x:c r="K978" s="2" t="n">
        <x:v>50</x:v>
      </x:c>
      <x:c r="L978" s="2" t="n">
        <x:f>G978*H978</x:f>
        <x:v>4400</x:v>
      </x:c>
      <x:c r="M978" s="2" t="n">
        <x:f>ROUND(L978*(1-I978),2)</x:f>
        <x:v>2860</x:v>
      </x:c>
      <x:c r="N978" s="2" t="n">
        <x:f>G978*J978</x:f>
        <x:v>2900</x:v>
      </x:c>
      <x:c r="O978" s="2" t="n">
        <x:f>M978-N978-K978</x:f>
        <x:v>-90</x:v>
      </x:c>
      <x:c r="P978" s="1" t="str">
        <x:f>TEXT(B978,"yyyy-mm")</x:f>
        <x:v>2025-10</x:v>
      </x:c>
    </x:row>
    <x:row r="979">
      <x:c r="A979" s="1" t="str">
        <x:v>ORD-0975</x:v>
      </x:c>
      <x:c r="B979" s="4" t="d">
        <x:v>2025-06-19T00:00:00.000Z</x:v>
      </x:c>
      <x:c r="C979" s="1" t="str">
        <x:v>C-043</x:v>
      </x:c>
      <x:c r="D979" s="1" t="str">
        <x:v>North</x:v>
      </x:c>
      <x:c r="E979" s="1" t="str">
        <x:v>Fashion</x:v>
      </x:c>
      <x:c r="F979" s="1" t="str">
        <x:v>Sneakers</x:v>
      </x:c>
      <x:c r="G979" s="1" t="n">
        <x:v>2</x:v>
      </x:c>
      <x:c r="H979" s="2" t="n">
        <x:v>2400</x:v>
      </x:c>
      <x:c r="I979" s="3" t="n">
        <x:v>0.1</x:v>
      </x:c>
      <x:c r="J979" s="2" t="n">
        <x:v>1200</x:v>
      </x:c>
      <x:c r="K979" s="2" t="n">
        <x:v>50</x:v>
      </x:c>
      <x:c r="L979" s="2" t="n">
        <x:f>G979*H979</x:f>
        <x:v>4800</x:v>
      </x:c>
      <x:c r="M979" s="2" t="n">
        <x:f>ROUND(L979*(1-I979),2)</x:f>
        <x:v>4320</x:v>
      </x:c>
      <x:c r="N979" s="2" t="n">
        <x:f>G979*J979</x:f>
        <x:v>2400</x:v>
      </x:c>
      <x:c r="O979" s="2" t="n">
        <x:f>M979-N979-K979</x:f>
        <x:v>1870</x:v>
      </x:c>
      <x:c r="P979" s="1" t="str">
        <x:f>TEXT(B979,"yyyy-mm")</x:f>
        <x:v>2025-06</x:v>
      </x:c>
    </x:row>
    <x:row r="980">
      <x:c r="A980" s="1" t="str">
        <x:v>ORD-0976</x:v>
      </x:c>
      <x:c r="B980" s="4" t="d">
        <x:v>2025-08-22T00:00:00.000Z</x:v>
      </x:c>
      <x:c r="C980" s="1" t="str">
        <x:v>C-211</x:v>
      </x:c>
      <x:c r="D980" s="1" t="str">
        <x:v>East</x:v>
      </x:c>
      <x:c r="E980" s="1" t="str">
        <x:v>Electronics</x:v>
      </x:c>
      <x:c r="F980" s="1" t="str">
        <x:v>Smartwatch</x:v>
      </x:c>
      <x:c r="G980" s="1" t="n">
        <x:v>4</x:v>
      </x:c>
      <x:c r="H980" s="2" t="n">
        <x:v>4200</x:v>
      </x:c>
      <x:c r="I980" s="3" t="n">
        <x:v>0.25</x:v>
      </x:c>
      <x:c r="J980" s="2" t="n">
        <x:v>3000</x:v>
      </x:c>
      <x:c r="K980" s="2" t="n">
        <x:v>80</x:v>
      </x:c>
      <x:c r="L980" s="2" t="n">
        <x:f>G980*H980</x:f>
        <x:v>16800</x:v>
      </x:c>
      <x:c r="M980" s="2" t="n">
        <x:f>ROUND(L980*(1-I980),2)</x:f>
        <x:v>12600</x:v>
      </x:c>
      <x:c r="N980" s="2" t="n">
        <x:f>G980*J980</x:f>
        <x:v>12000</x:v>
      </x:c>
      <x:c r="O980" s="2" t="n">
        <x:f>M980-N980-K980</x:f>
        <x:v>520</x:v>
      </x:c>
      <x:c r="P980" s="1" t="str">
        <x:f>TEXT(B980,"yyyy-mm")</x:f>
        <x:v>2025-08</x:v>
      </x:c>
    </x:row>
    <x:row r="981">
      <x:c r="A981" s="1" t="str">
        <x:v>ORD-0977</x:v>
      </x:c>
      <x:c r="B981" s="4" t="d">
        <x:v>2025-11-06T00:00:00.000Z</x:v>
      </x:c>
      <x:c r="C981" s="1" t="str">
        <x:v>C-168</x:v>
      </x:c>
      <x:c r="D981" s="1" t="str">
        <x:v>East</x:v>
      </x:c>
      <x:c r="E981" s="1" t="str">
        <x:v>Electronics</x:v>
      </x:c>
      <x:c r="F981" s="1" t="str">
        <x:v>Smartwatch</x:v>
      </x:c>
      <x:c r="G981" s="1" t="n">
        <x:v>2</x:v>
      </x:c>
      <x:c r="H981" s="2" t="n">
        <x:v>4200</x:v>
      </x:c>
      <x:c r="I981" s="3" t="n">
        <x:v>0.1</x:v>
      </x:c>
      <x:c r="J981" s="2" t="n">
        <x:v>3000</x:v>
      </x:c>
      <x:c r="K981" s="2" t="n">
        <x:v>50</x:v>
      </x:c>
      <x:c r="L981" s="2" t="n">
        <x:f>G981*H981</x:f>
        <x:v>8400</x:v>
      </x:c>
      <x:c r="M981" s="2" t="n">
        <x:f>ROUND(L981*(1-I981),2)</x:f>
        <x:v>7560</x:v>
      </x:c>
      <x:c r="N981" s="2" t="n">
        <x:f>G981*J981</x:f>
        <x:v>6000</x:v>
      </x:c>
      <x:c r="O981" s="2" t="n">
        <x:f>M981-N981-K981</x:f>
        <x:v>1510</x:v>
      </x:c>
      <x:c r="P981" s="1" t="str">
        <x:f>TEXT(B981,"yyyy-mm")</x:f>
        <x:v>2025-11</x:v>
      </x:c>
    </x:row>
    <x:row r="982">
      <x:c r="A982" s="1" t="str">
        <x:v>ORD-0978</x:v>
      </x:c>
      <x:c r="B982" s="4" t="d">
        <x:v>2025-07-29T00:00:00.000Z</x:v>
      </x:c>
      <x:c r="C982" s="1" t="str">
        <x:v>C-194</x:v>
      </x:c>
      <x:c r="D982" s="1" t="str">
        <x:v>South</x:v>
      </x:c>
      <x:c r="E982" s="1" t="str">
        <x:v>Electronics</x:v>
      </x:c>
      <x:c r="F982" s="1" t="str">
        <x:v>Smartwatch</x:v>
      </x:c>
      <x:c r="G982" s="1" t="n">
        <x:v>1</x:v>
      </x:c>
      <x:c r="H982" s="2" t="n">
        <x:v>4200</x:v>
      </x:c>
      <x:c r="I982" s="3" t="n">
        <x:v>0.15</x:v>
      </x:c>
      <x:c r="J982" s="2" t="n">
        <x:v>3000</x:v>
      </x:c>
      <x:c r="K982" s="2" t="n">
        <x:v>50</x:v>
      </x:c>
      <x:c r="L982" s="2" t="n">
        <x:f>G982*H982</x:f>
        <x:v>4200</x:v>
      </x:c>
      <x:c r="M982" s="2" t="n">
        <x:f>ROUND(L982*(1-I982),2)</x:f>
        <x:v>3570</x:v>
      </x:c>
      <x:c r="N982" s="2" t="n">
        <x:f>G982*J982</x:f>
        <x:v>3000</x:v>
      </x:c>
      <x:c r="O982" s="2" t="n">
        <x:f>M982-N982-K982</x:f>
        <x:v>520</x:v>
      </x:c>
      <x:c r="P982" s="1" t="str">
        <x:f>TEXT(B982,"yyyy-mm")</x:f>
        <x:v>2025-07</x:v>
      </x:c>
    </x:row>
    <x:row r="983">
      <x:c r="A983" s="1" t="str">
        <x:v>ORD-0979</x:v>
      </x:c>
      <x:c r="B983" s="4" t="d">
        <x:v>2025-12-15T00:00:00.000Z</x:v>
      </x:c>
      <x:c r="C983" s="1" t="str">
        <x:v>C-102</x:v>
      </x:c>
      <x:c r="D983" s="1" t="str">
        <x:v>East</x:v>
      </x:c>
      <x:c r="E983" s="1" t="str">
        <x:v>Fashion</x:v>
      </x:c>
      <x:c r="F983" s="1" t="str">
        <x:v>T-shirt</x:v>
      </x:c>
      <x:c r="G983" s="1" t="n">
        <x:v>2</x:v>
      </x:c>
      <x:c r="H983" s="2" t="n">
        <x:v>700</x:v>
      </x:c>
      <x:c r="I983" s="3" t="n">
        <x:v>0</x:v>
      </x:c>
      <x:c r="J983" s="2" t="n">
        <x:v>300</x:v>
      </x:c>
      <x:c r="K983" s="2" t="n">
        <x:v>50</x:v>
      </x:c>
      <x:c r="L983" s="2" t="n">
        <x:f>G983*H983</x:f>
        <x:v>1400</x:v>
      </x:c>
      <x:c r="M983" s="2" t="n">
        <x:f>ROUND(L983*(1-I983),2)</x:f>
        <x:v>1400</x:v>
      </x:c>
      <x:c r="N983" s="2" t="n">
        <x:f>G983*J983</x:f>
        <x:v>600</x:v>
      </x:c>
      <x:c r="O983" s="2" t="n">
        <x:f>M983-N983-K983</x:f>
        <x:v>750</x:v>
      </x:c>
      <x:c r="P983" s="1" t="str">
        <x:f>TEXT(B983,"yyyy-mm")</x:f>
        <x:v>2025-12</x:v>
      </x:c>
    </x:row>
    <x:row r="984">
      <x:c r="A984" s="1" t="str">
        <x:v>ORD-0980</x:v>
      </x:c>
      <x:c r="B984" s="4" t="d">
        <x:v>2025-06-09T00:00:00.000Z</x:v>
      </x:c>
      <x:c r="C984" s="1" t="str">
        <x:v>C-077</x:v>
      </x:c>
      <x:c r="D984" s="1" t="str">
        <x:v>North</x:v>
      </x:c>
      <x:c r="E984" s="1" t="str">
        <x:v>Home</x:v>
      </x:c>
      <x:c r="F984" s="1" t="str">
        <x:v>Office chair</x:v>
      </x:c>
      <x:c r="G984" s="1" t="n">
        <x:v>3</x:v>
      </x:c>
      <x:c r="H984" s="2" t="n">
        <x:v>5500</x:v>
      </x:c>
      <x:c r="I984" s="3" t="n">
        <x:v>0.25</x:v>
      </x:c>
      <x:c r="J984" s="2" t="n">
        <x:v>4400</x:v>
      </x:c>
      <x:c r="K984" s="2" t="n">
        <x:v>50</x:v>
      </x:c>
      <x:c r="L984" s="2" t="n">
        <x:f>G984*H984</x:f>
        <x:v>16500</x:v>
      </x:c>
      <x:c r="M984" s="2" t="n">
        <x:f>ROUND(L984*(1-I984),2)</x:f>
        <x:v>12375</x:v>
      </x:c>
      <x:c r="N984" s="2" t="n">
        <x:f>G984*J984</x:f>
        <x:v>13200</x:v>
      </x:c>
      <x:c r="O984" s="2" t="n">
        <x:f>M984-N984-K984</x:f>
        <x:v>-875</x:v>
      </x:c>
      <x:c r="P984" s="1" t="str">
        <x:f>TEXT(B984,"yyyy-mm")</x:f>
        <x:v>2025-06</x:v>
      </x:c>
    </x:row>
    <x:row r="985">
      <x:c r="A985" s="1" t="str">
        <x:v>ORD-0981</x:v>
      </x:c>
      <x:c r="B985" s="4" t="d">
        <x:v>2025-12-23T00:00:00.000Z</x:v>
      </x:c>
      <x:c r="C985" s="1" t="str">
        <x:v>C-270</x:v>
      </x:c>
      <x:c r="D985" s="1" t="str">
        <x:v>West</x:v>
      </x:c>
      <x:c r="E985" s="1" t="str">
        <x:v>Electronics</x:v>
      </x:c>
      <x:c r="F985" s="1" t="str">
        <x:v>Keyboard</x:v>
      </x:c>
      <x:c r="G985" s="1" t="n">
        <x:v>4</x:v>
      </x:c>
      <x:c r="H985" s="2" t="n">
        <x:v>1500</x:v>
      </x:c>
      <x:c r="I985" s="3" t="n">
        <x:v>0</x:v>
      </x:c>
      <x:c r="J985" s="2" t="n">
        <x:v>900</x:v>
      </x:c>
      <x:c r="K985" s="2" t="n">
        <x:v>120</x:v>
      </x:c>
      <x:c r="L985" s="2" t="n">
        <x:f>G985*H985</x:f>
        <x:v>6000</x:v>
      </x:c>
      <x:c r="M985" s="2" t="n">
        <x:f>ROUND(L985*(1-I985),2)</x:f>
        <x:v>6000</x:v>
      </x:c>
      <x:c r="N985" s="2" t="n">
        <x:f>G985*J985</x:f>
        <x:v>3600</x:v>
      </x:c>
      <x:c r="O985" s="2" t="n">
        <x:f>M985-N985-K985</x:f>
        <x:v>2280</x:v>
      </x:c>
      <x:c r="P985" s="1" t="str">
        <x:f>TEXT(B985,"yyyy-mm")</x:f>
        <x:v>2025-12</x:v>
      </x:c>
    </x:row>
    <x:row r="986">
      <x:c r="A986" s="1" t="str">
        <x:v>ORD-0982</x:v>
      </x:c>
      <x:c r="B986" s="4" t="d">
        <x:v>2025-08-07T00:00:00.000Z</x:v>
      </x:c>
      <x:c r="C986" s="1" t="str">
        <x:v>C-098</x:v>
      </x:c>
      <x:c r="D986" s="1" t="str">
        <x:v>East</x:v>
      </x:c>
      <x:c r="E986" s="1" t="str">
        <x:v>Fashion</x:v>
      </x:c>
      <x:c r="F986" s="1" t="str">
        <x:v>T-shirt</x:v>
      </x:c>
      <x:c r="G986" s="1" t="n">
        <x:v>3</x:v>
      </x:c>
      <x:c r="H986" s="2" t="n">
        <x:v>700</x:v>
      </x:c>
      <x:c r="I986" s="3" t="n">
        <x:v>0.35</x:v>
      </x:c>
      <x:c r="J986" s="2" t="n">
        <x:v>300</x:v>
      </x:c>
      <x:c r="K986" s="2" t="n">
        <x:v>120</x:v>
      </x:c>
      <x:c r="L986" s="2" t="n">
        <x:f>G986*H986</x:f>
        <x:v>2100</x:v>
      </x:c>
      <x:c r="M986" s="2" t="n">
        <x:f>ROUND(L986*(1-I986),2)</x:f>
        <x:v>1365</x:v>
      </x:c>
      <x:c r="N986" s="2" t="n">
        <x:f>G986*J986</x:f>
        <x:v>900</x:v>
      </x:c>
      <x:c r="O986" s="2" t="n">
        <x:f>M986-N986-K986</x:f>
        <x:v>345</x:v>
      </x:c>
      <x:c r="P986" s="1" t="str">
        <x:f>TEXT(B986,"yyyy-mm")</x:f>
        <x:v>2025-08</x:v>
      </x:c>
    </x:row>
    <x:row r="987">
      <x:c r="A987" s="1" t="str">
        <x:v>ORD-0983</x:v>
      </x:c>
      <x:c r="B987" s="4" t="d">
        <x:v>2025-08-28T00:00:00.000Z</x:v>
      </x:c>
      <x:c r="C987" s="1" t="str">
        <x:v>C-106</x:v>
      </x:c>
      <x:c r="D987" s="1" t="str">
        <x:v>South</x:v>
      </x:c>
      <x:c r="E987" s="1" t="str">
        <x:v>Electronics</x:v>
      </x:c>
      <x:c r="F987" s="1" t="str">
        <x:v>Smartwatch</x:v>
      </x:c>
      <x:c r="G987" s="1" t="n">
        <x:v>3</x:v>
      </x:c>
      <x:c r="H987" s="2" t="n">
        <x:v>4200</x:v>
      </x:c>
      <x:c r="I987" s="3" t="n">
        <x:v>0.15</x:v>
      </x:c>
      <x:c r="J987" s="2" t="n">
        <x:v>3000</x:v>
      </x:c>
      <x:c r="K987" s="2" t="n">
        <x:v>120</x:v>
      </x:c>
      <x:c r="L987" s="2" t="n">
        <x:f>G987*H987</x:f>
        <x:v>12600</x:v>
      </x:c>
      <x:c r="M987" s="2" t="n">
        <x:f>ROUND(L987*(1-I987),2)</x:f>
        <x:v>10710</x:v>
      </x:c>
      <x:c r="N987" s="2" t="n">
        <x:f>G987*J987</x:f>
        <x:v>9000</x:v>
      </x:c>
      <x:c r="O987" s="2" t="n">
        <x:f>M987-N987-K987</x:f>
        <x:v>1590</x:v>
      </x:c>
      <x:c r="P987" s="1" t="str">
        <x:f>TEXT(B987,"yyyy-mm")</x:f>
        <x:v>2025-08</x:v>
      </x:c>
    </x:row>
    <x:row r="988">
      <x:c r="A988" s="1" t="str">
        <x:v>ORD-0984</x:v>
      </x:c>
      <x:c r="B988" s="4" t="d">
        <x:v>2025-10-14T00:00:00.000Z</x:v>
      </x:c>
      <x:c r="C988" s="1" t="str">
        <x:v>C-075</x:v>
      </x:c>
      <x:c r="D988" s="1" t="str">
        <x:v>North</x:v>
      </x:c>
      <x:c r="E988" s="1" t="str">
        <x:v>Home</x:v>
      </x:c>
      <x:c r="F988" s="1" t="str">
        <x:v>Office chair</x:v>
      </x:c>
      <x:c r="G988" s="1" t="n">
        <x:v>3</x:v>
      </x:c>
      <x:c r="H988" s="2" t="n">
        <x:v>5500</x:v>
      </x:c>
      <x:c r="I988" s="3" t="n">
        <x:v>0.05</x:v>
      </x:c>
      <x:c r="J988" s="2" t="n">
        <x:v>4400</x:v>
      </x:c>
      <x:c r="K988" s="2" t="n">
        <x:v>80</x:v>
      </x:c>
      <x:c r="L988" s="2" t="n">
        <x:f>G988*H988</x:f>
        <x:v>16500</x:v>
      </x:c>
      <x:c r="M988" s="2" t="n">
        <x:f>ROUND(L988*(1-I988),2)</x:f>
        <x:v>15675</x:v>
      </x:c>
      <x:c r="N988" s="2" t="n">
        <x:f>G988*J988</x:f>
        <x:v>13200</x:v>
      </x:c>
      <x:c r="O988" s="2" t="n">
        <x:f>M988-N988-K988</x:f>
        <x:v>2395</x:v>
      </x:c>
      <x:c r="P988" s="1" t="str">
        <x:f>TEXT(B988,"yyyy-mm")</x:f>
        <x:v>2025-10</x:v>
      </x:c>
    </x:row>
    <x:row r="989">
      <x:c r="A989" s="1" t="str">
        <x:v>ORD-0985</x:v>
      </x:c>
      <x:c r="B989" s="4" t="d">
        <x:v>2025-04-12T00:00:00.000Z</x:v>
      </x:c>
      <x:c r="C989" s="1" t="str">
        <x:v>C-299</x:v>
      </x:c>
      <x:c r="D989" s="1" t="str">
        <x:v>West</x:v>
      </x:c>
      <x:c r="E989" s="1" t="str">
        <x:v>Home</x:v>
      </x:c>
      <x:c r="F989" s="1" t="str">
        <x:v>Desk lamp</x:v>
      </x:c>
      <x:c r="G989" s="1" t="n">
        <x:v>1</x:v>
      </x:c>
      <x:c r="H989" s="2" t="n">
        <x:v>1100</x:v>
      </x:c>
      <x:c r="I989" s="3" t="n">
        <x:v>0.05</x:v>
      </x:c>
      <x:c r="J989" s="2" t="n">
        <x:v>650</x:v>
      </x:c>
      <x:c r="K989" s="2" t="n">
        <x:v>50</x:v>
      </x:c>
      <x:c r="L989" s="2" t="n">
        <x:f>G989*H989</x:f>
        <x:v>1100</x:v>
      </x:c>
      <x:c r="M989" s="2" t="n">
        <x:f>ROUND(L989*(1-I989),2)</x:f>
        <x:v>1045</x:v>
      </x:c>
      <x:c r="N989" s="2" t="n">
        <x:f>G989*J989</x:f>
        <x:v>650</x:v>
      </x:c>
      <x:c r="O989" s="2" t="n">
        <x:f>M989-N989-K989</x:f>
        <x:v>345</x:v>
      </x:c>
      <x:c r="P989" s="1" t="str">
        <x:f>TEXT(B989,"yyyy-mm")</x:f>
        <x:v>2025-04</x:v>
      </x:c>
    </x:row>
    <x:row r="990">
      <x:c r="A990" s="1" t="str">
        <x:v>ORD-0986</x:v>
      </x:c>
      <x:c r="B990" s="4" t="d">
        <x:v>2025-07-13T00:00:00.000Z</x:v>
      </x:c>
      <x:c r="C990" s="1" t="str">
        <x:v>C-109</x:v>
      </x:c>
      <x:c r="D990" s="1" t="str">
        <x:v>West</x:v>
      </x:c>
      <x:c r="E990" s="1" t="str">
        <x:v>Fashion</x:v>
      </x:c>
      <x:c r="F990" s="1" t="str">
        <x:v>Backpack</x:v>
      </x:c>
      <x:c r="G990" s="1" t="n">
        <x:v>4</x:v>
      </x:c>
      <x:c r="H990" s="2" t="n">
        <x:v>1300</x:v>
      </x:c>
      <x:c r="I990" s="3" t="n">
        <x:v>0.35</x:v>
      </x:c>
      <x:c r="J990" s="2" t="n">
        <x:v>650</x:v>
      </x:c>
      <x:c r="K990" s="2" t="n">
        <x:v>120</x:v>
      </x:c>
      <x:c r="L990" s="2" t="n">
        <x:f>G990*H990</x:f>
        <x:v>5200</x:v>
      </x:c>
      <x:c r="M990" s="2" t="n">
        <x:f>ROUND(L990*(1-I990),2)</x:f>
        <x:v>3380</x:v>
      </x:c>
      <x:c r="N990" s="2" t="n">
        <x:f>G990*J990</x:f>
        <x:v>2600</x:v>
      </x:c>
      <x:c r="O990" s="2" t="n">
        <x:f>M990-N990-K990</x:f>
        <x:v>660</x:v>
      </x:c>
      <x:c r="P990" s="1" t="str">
        <x:f>TEXT(B990,"yyyy-mm")</x:f>
        <x:v>2025-07</x:v>
      </x:c>
    </x:row>
    <x:row r="991">
      <x:c r="A991" s="1" t="str">
        <x:v>ORD-0987</x:v>
      </x:c>
      <x:c r="B991" s="4" t="d">
        <x:v>2025-09-18T00:00:00.000Z</x:v>
      </x:c>
      <x:c r="C991" s="1" t="str">
        <x:v>C-031</x:v>
      </x:c>
      <x:c r="D991" s="1" t="str">
        <x:v>North</x:v>
      </x:c>
      <x:c r="E991" s="1" t="str">
        <x:v>Electronics</x:v>
      </x:c>
      <x:c r="F991" s="1" t="str">
        <x:v>Keyboard</x:v>
      </x:c>
      <x:c r="G991" s="1" t="n">
        <x:v>3</x:v>
      </x:c>
      <x:c r="H991" s="2" t="n">
        <x:v>1500</x:v>
      </x:c>
      <x:c r="I991" s="3" t="n">
        <x:v>0</x:v>
      </x:c>
      <x:c r="J991" s="2" t="n">
        <x:v>900</x:v>
      </x:c>
      <x:c r="K991" s="2" t="n">
        <x:v>50</x:v>
      </x:c>
      <x:c r="L991" s="2" t="n">
        <x:f>G991*H991</x:f>
        <x:v>4500</x:v>
      </x:c>
      <x:c r="M991" s="2" t="n">
        <x:f>ROUND(L991*(1-I991),2)</x:f>
        <x:v>4500</x:v>
      </x:c>
      <x:c r="N991" s="2" t="n">
        <x:f>G991*J991</x:f>
        <x:v>2700</x:v>
      </x:c>
      <x:c r="O991" s="2" t="n">
        <x:f>M991-N991-K991</x:f>
        <x:v>1750</x:v>
      </x:c>
      <x:c r="P991" s="1" t="str">
        <x:f>TEXT(B991,"yyyy-mm")</x:f>
        <x:v>2025-09</x:v>
      </x:c>
    </x:row>
    <x:row r="992">
      <x:c r="A992" s="1" t="str">
        <x:v>ORD-0988</x:v>
      </x:c>
      <x:c r="B992" s="4" t="d">
        <x:v>2025-07-31T00:00:00.000Z</x:v>
      </x:c>
      <x:c r="C992" s="1" t="str">
        <x:v>C-024</x:v>
      </x:c>
      <x:c r="D992" s="1" t="str">
        <x:v>North</x:v>
      </x:c>
      <x:c r="E992" s="1" t="str">
        <x:v>Fashion</x:v>
      </x:c>
      <x:c r="F992" s="1" t="str">
        <x:v>Backpack</x:v>
      </x:c>
      <x:c r="G992" s="1" t="n">
        <x:v>3</x:v>
      </x:c>
      <x:c r="H992" s="2" t="n">
        <x:v>1300</x:v>
      </x:c>
      <x:c r="I992" s="3" t="n">
        <x:v>0.25</x:v>
      </x:c>
      <x:c r="J992" s="2" t="n">
        <x:v>650</x:v>
      </x:c>
      <x:c r="K992" s="2" t="n">
        <x:v>120</x:v>
      </x:c>
      <x:c r="L992" s="2" t="n">
        <x:f>G992*H992</x:f>
        <x:v>3900</x:v>
      </x:c>
      <x:c r="M992" s="2" t="n">
        <x:f>ROUND(L992*(1-I992),2)</x:f>
        <x:v>2925</x:v>
      </x:c>
      <x:c r="N992" s="2" t="n">
        <x:f>G992*J992</x:f>
        <x:v>1950</x:v>
      </x:c>
      <x:c r="O992" s="2" t="n">
        <x:f>M992-N992-K992</x:f>
        <x:v>855</x:v>
      </x:c>
      <x:c r="P992" s="1" t="str">
        <x:f>TEXT(B992,"yyyy-mm")</x:f>
        <x:v>2025-07</x:v>
      </x:c>
    </x:row>
    <x:row r="993">
      <x:c r="A993" s="1" t="str">
        <x:v>ORD-0989</x:v>
      </x:c>
      <x:c r="B993" s="4" t="d">
        <x:v>2025-09-22T00:00:00.000Z</x:v>
      </x:c>
      <x:c r="C993" s="1" t="str">
        <x:v>C-190</x:v>
      </x:c>
      <x:c r="D993" s="1" t="str">
        <x:v>South</x:v>
      </x:c>
      <x:c r="E993" s="1" t="str">
        <x:v>Fashion</x:v>
      </x:c>
      <x:c r="F993" s="1" t="str">
        <x:v>Sneakers</x:v>
      </x:c>
      <x:c r="G993" s="1" t="n">
        <x:v>1</x:v>
      </x:c>
      <x:c r="H993" s="2" t="n">
        <x:v>2400</x:v>
      </x:c>
      <x:c r="I993" s="3" t="n">
        <x:v>0.15</x:v>
      </x:c>
      <x:c r="J993" s="2" t="n">
        <x:v>1200</x:v>
      </x:c>
      <x:c r="K993" s="2" t="n">
        <x:v>120</x:v>
      </x:c>
      <x:c r="L993" s="2" t="n">
        <x:f>G993*H993</x:f>
        <x:v>2400</x:v>
      </x:c>
      <x:c r="M993" s="2" t="n">
        <x:f>ROUND(L993*(1-I993),2)</x:f>
        <x:v>2040</x:v>
      </x:c>
      <x:c r="N993" s="2" t="n">
        <x:f>G993*J993</x:f>
        <x:v>1200</x:v>
      </x:c>
      <x:c r="O993" s="2" t="n">
        <x:f>M993-N993-K993</x:f>
        <x:v>720</x:v>
      </x:c>
      <x:c r="P993" s="1" t="str">
        <x:f>TEXT(B993,"yyyy-mm")</x:f>
        <x:v>2025-09</x:v>
      </x:c>
    </x:row>
    <x:row r="994">
      <x:c r="A994" s="1" t="str">
        <x:v>ORD-0990</x:v>
      </x:c>
      <x:c r="B994" s="4" t="d">
        <x:v>2025-03-16T00:00:00.000Z</x:v>
      </x:c>
      <x:c r="C994" s="1" t="str">
        <x:v>C-174</x:v>
      </x:c>
      <x:c r="D994" s="1" t="str">
        <x:v>West</x:v>
      </x:c>
      <x:c r="E994" s="1" t="str">
        <x:v>Electronics</x:v>
      </x:c>
      <x:c r="F994" s="1" t="str">
        <x:v>Smartwatch</x:v>
      </x:c>
      <x:c r="G994" s="1" t="n">
        <x:v>2</x:v>
      </x:c>
      <x:c r="H994" s="2" t="n">
        <x:v>4200</x:v>
      </x:c>
      <x:c r="I994" s="3" t="n">
        <x:v>0.25</x:v>
      </x:c>
      <x:c r="J994" s="2" t="n">
        <x:v>3000</x:v>
      </x:c>
      <x:c r="K994" s="2" t="n">
        <x:v>50</x:v>
      </x:c>
      <x:c r="L994" s="2" t="n">
        <x:f>G994*H994</x:f>
        <x:v>8400</x:v>
      </x:c>
      <x:c r="M994" s="2" t="n">
        <x:f>ROUND(L994*(1-I994),2)</x:f>
        <x:v>6300</x:v>
      </x:c>
      <x:c r="N994" s="2" t="n">
        <x:f>G994*J994</x:f>
        <x:v>6000</x:v>
      </x:c>
      <x:c r="O994" s="2" t="n">
        <x:f>M994-N994-K994</x:f>
        <x:v>250</x:v>
      </x:c>
      <x:c r="P994" s="1" t="str">
        <x:f>TEXT(B994,"yyyy-mm")</x:f>
        <x:v>2025-03</x:v>
      </x:c>
    </x:row>
    <x:row r="995">
      <x:c r="A995" s="1" t="str">
        <x:v>ORD-0991</x:v>
      </x:c>
      <x:c r="B995" s="4" t="d">
        <x:v>2025-05-05T00:00:00.000Z</x:v>
      </x:c>
      <x:c r="C995" s="1" t="str">
        <x:v>C-134</x:v>
      </x:c>
      <x:c r="D995" s="1" t="str">
        <x:v>North</x:v>
      </x:c>
      <x:c r="E995" s="1" t="str">
        <x:v>Home</x:v>
      </x:c>
      <x:c r="F995" s="1" t="str">
        <x:v>Storage box</x:v>
      </x:c>
      <x:c r="G995" s="1" t="n">
        <x:v>3</x:v>
      </x:c>
      <x:c r="H995" s="2" t="n">
        <x:v>800</x:v>
      </x:c>
      <x:c r="I995" s="3" t="n">
        <x:v>0.15</x:v>
      </x:c>
      <x:c r="J995" s="2" t="n">
        <x:v>420</x:v>
      </x:c>
      <x:c r="K995" s="2" t="n">
        <x:v>50</x:v>
      </x:c>
      <x:c r="L995" s="2" t="n">
        <x:f>G995*H995</x:f>
        <x:v>2400</x:v>
      </x:c>
      <x:c r="M995" s="2" t="n">
        <x:f>ROUND(L995*(1-I995),2)</x:f>
        <x:v>2040</x:v>
      </x:c>
      <x:c r="N995" s="2" t="n">
        <x:f>G995*J995</x:f>
        <x:v>1260</x:v>
      </x:c>
      <x:c r="O995" s="2" t="n">
        <x:f>M995-N995-K995</x:f>
        <x:v>730</x:v>
      </x:c>
      <x:c r="P995" s="1" t="str">
        <x:f>TEXT(B995,"yyyy-mm")</x:f>
        <x:v>2025-05</x:v>
      </x:c>
    </x:row>
    <x:row r="996">
      <x:c r="A996" s="1" t="str">
        <x:v>ORD-0992</x:v>
      </x:c>
      <x:c r="B996" s="4" t="d">
        <x:v>2025-12-24T00:00:00.000Z</x:v>
      </x:c>
      <x:c r="C996" s="1" t="str">
        <x:v>C-185</x:v>
      </x:c>
      <x:c r="D996" s="1" t="str">
        <x:v>West</x:v>
      </x:c>
      <x:c r="E996" s="1" t="str">
        <x:v>Home</x:v>
      </x:c>
      <x:c r="F996" s="1" t="str">
        <x:v>Desk lamp</x:v>
      </x:c>
      <x:c r="G996" s="1" t="n">
        <x:v>3</x:v>
      </x:c>
      <x:c r="H996" s="2" t="n">
        <x:v>1100</x:v>
      </x:c>
      <x:c r="I996" s="3" t="n">
        <x:v>0.1</x:v>
      </x:c>
      <x:c r="J996" s="2" t="n">
        <x:v>650</x:v>
      </x:c>
      <x:c r="K996" s="2" t="n">
        <x:v>80</x:v>
      </x:c>
      <x:c r="L996" s="2" t="n">
        <x:f>G996*H996</x:f>
        <x:v>3300</x:v>
      </x:c>
      <x:c r="M996" s="2" t="n">
        <x:f>ROUND(L996*(1-I996),2)</x:f>
        <x:v>2970</x:v>
      </x:c>
      <x:c r="N996" s="2" t="n">
        <x:f>G996*J996</x:f>
        <x:v>1950</x:v>
      </x:c>
      <x:c r="O996" s="2" t="n">
        <x:f>M996-N996-K996</x:f>
        <x:v>940</x:v>
      </x:c>
      <x:c r="P996" s="1" t="str">
        <x:f>TEXT(B996,"yyyy-mm")</x:f>
        <x:v>2025-12</x:v>
      </x:c>
    </x:row>
    <x:row r="997">
      <x:c r="A997" s="1" t="str">
        <x:v>ORD-0993</x:v>
      </x:c>
      <x:c r="B997" s="4" t="d">
        <x:v>2025-09-11T00:00:00.000Z</x:v>
      </x:c>
      <x:c r="C997" s="1" t="str">
        <x:v>C-224</x:v>
      </x:c>
      <x:c r="D997" s="1" t="str">
        <x:v>South</x:v>
      </x:c>
      <x:c r="E997" s="1" t="str">
        <x:v>Fashion</x:v>
      </x:c>
      <x:c r="F997" s="1" t="str">
        <x:v>Sneakers</x:v>
      </x:c>
      <x:c r="G997" s="1" t="n">
        <x:v>3</x:v>
      </x:c>
      <x:c r="H997" s="2" t="n">
        <x:v>2400</x:v>
      </x:c>
      <x:c r="I997" s="3" t="n">
        <x:v>0.25</x:v>
      </x:c>
      <x:c r="J997" s="2" t="n">
        <x:v>1200</x:v>
      </x:c>
      <x:c r="K997" s="2" t="n">
        <x:v>120</x:v>
      </x:c>
      <x:c r="L997" s="2" t="n">
        <x:f>G997*H997</x:f>
        <x:v>7200</x:v>
      </x:c>
      <x:c r="M997" s="2" t="n">
        <x:f>ROUND(L997*(1-I997),2)</x:f>
        <x:v>5400</x:v>
      </x:c>
      <x:c r="N997" s="2" t="n">
        <x:f>G997*J997</x:f>
        <x:v>3600</x:v>
      </x:c>
      <x:c r="O997" s="2" t="n">
        <x:f>M997-N997-K997</x:f>
        <x:v>1680</x:v>
      </x:c>
      <x:c r="P997" s="1" t="str">
        <x:f>TEXT(B997,"yyyy-mm")</x:f>
        <x:v>2025-09</x:v>
      </x:c>
    </x:row>
    <x:row r="998">
      <x:c r="A998" s="1" t="str">
        <x:v>ORD-0994</x:v>
      </x:c>
      <x:c r="B998" s="4" t="d">
        <x:v>2025-12-28T00:00:00.000Z</x:v>
      </x:c>
      <x:c r="C998" s="1" t="str">
        <x:v>C-226</x:v>
      </x:c>
      <x:c r="D998" s="1" t="str">
        <x:v>North</x:v>
      </x:c>
      <x:c r="E998" s="1" t="str">
        <x:v>Electronics</x:v>
      </x:c>
      <x:c r="F998" s="1" t="str">
        <x:v>Smartwatch</x:v>
      </x:c>
      <x:c r="G998" s="1" t="n">
        <x:v>2</x:v>
      </x:c>
      <x:c r="H998" s="2" t="n">
        <x:v>4200</x:v>
      </x:c>
      <x:c r="I998" s="3" t="n">
        <x:v>0.25</x:v>
      </x:c>
      <x:c r="J998" s="2" t="n">
        <x:v>3000</x:v>
      </x:c>
      <x:c r="K998" s="2" t="n">
        <x:v>50</x:v>
      </x:c>
      <x:c r="L998" s="2" t="n">
        <x:f>G998*H998</x:f>
        <x:v>8400</x:v>
      </x:c>
      <x:c r="M998" s="2" t="n">
        <x:f>ROUND(L998*(1-I998),2)</x:f>
        <x:v>6300</x:v>
      </x:c>
      <x:c r="N998" s="2" t="n">
        <x:f>G998*J998</x:f>
        <x:v>6000</x:v>
      </x:c>
      <x:c r="O998" s="2" t="n">
        <x:f>M998-N998-K998</x:f>
        <x:v>250</x:v>
      </x:c>
      <x:c r="P998" s="1" t="str">
        <x:f>TEXT(B998,"yyyy-mm")</x:f>
        <x:v>2025-12</x:v>
      </x:c>
    </x:row>
    <x:row r="999">
      <x:c r="A999" s="1" t="str">
        <x:v>ORD-0995</x:v>
      </x:c>
      <x:c r="B999" s="4" t="d">
        <x:v>2025-01-16T00:00:00.000Z</x:v>
      </x:c>
      <x:c r="C999" s="1" t="str">
        <x:v>C-134</x:v>
      </x:c>
      <x:c r="D999" s="1" t="str">
        <x:v>South</x:v>
      </x:c>
      <x:c r="E999" s="1" t="str">
        <x:v>Electronics</x:v>
      </x:c>
      <x:c r="F999" s="1" t="str">
        <x:v>Smartwatch</x:v>
      </x:c>
      <x:c r="G999" s="1" t="n">
        <x:v>4</x:v>
      </x:c>
      <x:c r="H999" s="2" t="n">
        <x:v>4200</x:v>
      </x:c>
      <x:c r="I999" s="3" t="n">
        <x:v>0</x:v>
      </x:c>
      <x:c r="J999" s="2" t="n">
        <x:v>3000</x:v>
      </x:c>
      <x:c r="K999" s="2" t="n">
        <x:v>80</x:v>
      </x:c>
      <x:c r="L999" s="2" t="n">
        <x:f>G999*H999</x:f>
        <x:v>16800</x:v>
      </x:c>
      <x:c r="M999" s="2" t="n">
        <x:f>ROUND(L999*(1-I999),2)</x:f>
        <x:v>16800</x:v>
      </x:c>
      <x:c r="N999" s="2" t="n">
        <x:f>G999*J999</x:f>
        <x:v>12000</x:v>
      </x:c>
      <x:c r="O999" s="2" t="n">
        <x:f>M999-N999-K999</x:f>
        <x:v>4720</x:v>
      </x:c>
      <x:c r="P999" s="1" t="str">
        <x:f>TEXT(B999,"yyyy-mm")</x:f>
        <x:v>2025-01</x:v>
      </x:c>
    </x:row>
    <x:row r="1000">
      <x:c r="A1000" s="1" t="str">
        <x:v>ORD-0996</x:v>
      </x:c>
      <x:c r="B1000" s="4" t="d">
        <x:v>2025-02-15T00:00:00.000Z</x:v>
      </x:c>
      <x:c r="C1000" s="1" t="str">
        <x:v>C-183</x:v>
      </x:c>
      <x:c r="D1000" s="1" t="str">
        <x:v>West</x:v>
      </x:c>
      <x:c r="E1000" s="1" t="str">
        <x:v>Home</x:v>
      </x:c>
      <x:c r="F1000" s="1" t="str">
        <x:v>Desk lamp</x:v>
      </x:c>
      <x:c r="G1000" s="1" t="n">
        <x:v>4</x:v>
      </x:c>
      <x:c r="H1000" s="2" t="n">
        <x:v>1100</x:v>
      </x:c>
      <x:c r="I1000" s="3" t="n">
        <x:v>0</x:v>
      </x:c>
      <x:c r="J1000" s="2" t="n">
        <x:v>650</x:v>
      </x:c>
      <x:c r="K1000" s="2" t="n">
        <x:v>80</x:v>
      </x:c>
      <x:c r="L1000" s="2" t="n">
        <x:f>G1000*H1000</x:f>
        <x:v>4400</x:v>
      </x:c>
      <x:c r="M1000" s="2" t="n">
        <x:f>ROUND(L1000*(1-I1000),2)</x:f>
        <x:v>4400</x:v>
      </x:c>
      <x:c r="N1000" s="2" t="n">
        <x:f>G1000*J1000</x:f>
        <x:v>2600</x:v>
      </x:c>
      <x:c r="O1000" s="2" t="n">
        <x:f>M1000-N1000-K1000</x:f>
        <x:v>1720</x:v>
      </x:c>
      <x:c r="P1000" s="1" t="str">
        <x:f>TEXT(B1000,"yyyy-mm")</x:f>
        <x:v>2025-02</x:v>
      </x:c>
    </x:row>
    <x:row r="1001">
      <x:c r="A1001" s="1" t="str">
        <x:v>ORD-0997</x:v>
      </x:c>
      <x:c r="B1001" s="4" t="d">
        <x:v>2025-02-12T00:00:00.000Z</x:v>
      </x:c>
      <x:c r="C1001" s="1" t="str">
        <x:v>C-048</x:v>
      </x:c>
      <x:c r="D1001" s="1" t="str">
        <x:v>South</x:v>
      </x:c>
      <x:c r="E1001" s="1" t="str">
        <x:v>Electronics</x:v>
      </x:c>
      <x:c r="F1001" s="1" t="str">
        <x:v>Smartwatch</x:v>
      </x:c>
      <x:c r="G1001" s="1" t="n">
        <x:v>3</x:v>
      </x:c>
      <x:c r="H1001" s="2" t="n">
        <x:v>4200</x:v>
      </x:c>
      <x:c r="I1001" s="3" t="n">
        <x:v>0</x:v>
      </x:c>
      <x:c r="J1001" s="2" t="n">
        <x:v>3000</x:v>
      </x:c>
      <x:c r="K1001" s="2" t="n">
        <x:v>50</x:v>
      </x:c>
      <x:c r="L1001" s="2" t="n">
        <x:f>G1001*H1001</x:f>
        <x:v>12600</x:v>
      </x:c>
      <x:c r="M1001" s="2" t="n">
        <x:f>ROUND(L1001*(1-I1001),2)</x:f>
        <x:v>12600</x:v>
      </x:c>
      <x:c r="N1001" s="2" t="n">
        <x:f>G1001*J1001</x:f>
        <x:v>9000</x:v>
      </x:c>
      <x:c r="O1001" s="2" t="n">
        <x:f>M1001-N1001-K1001</x:f>
        <x:v>3550</x:v>
      </x:c>
      <x:c r="P1001" s="1" t="str">
        <x:f>TEXT(B1001,"yyyy-mm")</x:f>
        <x:v>2025-02</x:v>
      </x:c>
    </x:row>
    <x:row r="1002">
      <x:c r="A1002" s="1" t="str">
        <x:v>ORD-0998</x:v>
      </x:c>
      <x:c r="B1002" s="4" t="d">
        <x:v>2025-11-19T00:00:00.000Z</x:v>
      </x:c>
      <x:c r="C1002" s="1" t="str">
        <x:v>C-300</x:v>
      </x:c>
      <x:c r="D1002" s="1" t="str">
        <x:v>South</x:v>
      </x:c>
      <x:c r="E1002" s="1" t="str">
        <x:v>Home</x:v>
      </x:c>
      <x:c r="F1002" s="1" t="str">
        <x:v>Storage box</x:v>
      </x:c>
      <x:c r="G1002" s="1" t="n">
        <x:v>1</x:v>
      </x:c>
      <x:c r="H1002" s="2" t="n">
        <x:v>800</x:v>
      </x:c>
      <x:c r="I1002" s="3" t="n">
        <x:v>0.1</x:v>
      </x:c>
      <x:c r="J1002" s="2" t="n">
        <x:v>420</x:v>
      </x:c>
      <x:c r="K1002" s="2" t="n">
        <x:v>120</x:v>
      </x:c>
      <x:c r="L1002" s="2" t="n">
        <x:f>G1002*H1002</x:f>
        <x:v>800</x:v>
      </x:c>
      <x:c r="M1002" s="2" t="n">
        <x:f>ROUND(L1002*(1-I1002),2)</x:f>
        <x:v>720</x:v>
      </x:c>
      <x:c r="N1002" s="2" t="n">
        <x:f>G1002*J1002</x:f>
        <x:v>420</x:v>
      </x:c>
      <x:c r="O1002" s="2" t="n">
        <x:f>M1002-N1002-K1002</x:f>
        <x:v>180</x:v>
      </x:c>
      <x:c r="P1002" s="1" t="str">
        <x:f>TEXT(B1002,"yyyy-mm")</x:f>
        <x:v>2025-11</x:v>
      </x:c>
    </x:row>
    <x:row r="1003">
      <x:c r="A1003" s="1" t="str">
        <x:v>ORD-0999</x:v>
      </x:c>
      <x:c r="B1003" s="4" t="d">
        <x:v>2025-10-30T00:00:00.000Z</x:v>
      </x:c>
      <x:c r="C1003" s="1" t="str">
        <x:v>C-040</x:v>
      </x:c>
      <x:c r="D1003" s="1" t="str">
        <x:v>South</x:v>
      </x:c>
      <x:c r="E1003" s="1" t="str">
        <x:v>Electronics</x:v>
      </x:c>
      <x:c r="F1003" s="1" t="str">
        <x:v>Smartwatch</x:v>
      </x:c>
      <x:c r="G1003" s="1" t="n">
        <x:v>4</x:v>
      </x:c>
      <x:c r="H1003" s="2" t="n">
        <x:v>4200</x:v>
      </x:c>
      <x:c r="I1003" s="3" t="n">
        <x:v>0.15</x:v>
      </x:c>
      <x:c r="J1003" s="2" t="n">
        <x:v>3000</x:v>
      </x:c>
      <x:c r="K1003" s="2" t="n">
        <x:v>120</x:v>
      </x:c>
      <x:c r="L1003" s="2" t="n">
        <x:f>G1003*H1003</x:f>
        <x:v>16800</x:v>
      </x:c>
      <x:c r="M1003" s="2" t="n">
        <x:f>ROUND(L1003*(1-I1003),2)</x:f>
        <x:v>14280</x:v>
      </x:c>
      <x:c r="N1003" s="2" t="n">
        <x:f>G1003*J1003</x:f>
        <x:v>12000</x:v>
      </x:c>
      <x:c r="O1003" s="2" t="n">
        <x:f>M1003-N1003-K1003</x:f>
        <x:v>2160</x:v>
      </x:c>
      <x:c r="P1003" s="1" t="str">
        <x:f>TEXT(B1003,"yyyy-mm")</x:f>
        <x:v>2025-10</x:v>
      </x:c>
    </x:row>
    <x:row r="1004">
      <x:c r="A1004" s="1" t="str">
        <x:v>ORD-1000</x:v>
      </x:c>
      <x:c r="B1004" s="4" t="d">
        <x:v>2025-02-10T00:00:00.000Z</x:v>
      </x:c>
      <x:c r="C1004" s="1" t="str">
        <x:v>C-063</x:v>
      </x:c>
      <x:c r="D1004" s="1" t="str">
        <x:v>West</x:v>
      </x:c>
      <x:c r="E1004" s="1" t="str">
        <x:v>Fashion</x:v>
      </x:c>
      <x:c r="F1004" s="1" t="str">
        <x:v>Backpack</x:v>
      </x:c>
      <x:c r="G1004" s="1" t="n">
        <x:v>3</x:v>
      </x:c>
      <x:c r="H1004" s="2" t="n">
        <x:v>1300</x:v>
      </x:c>
      <x:c r="I1004" s="3" t="n">
        <x:v>0</x:v>
      </x:c>
      <x:c r="J1004" s="2" t="n">
        <x:v>650</x:v>
      </x:c>
      <x:c r="K1004" s="2" t="n">
        <x:v>120</x:v>
      </x:c>
      <x:c r="L1004" s="2" t="n">
        <x:f>G1004*H1004</x:f>
        <x:v>3900</x:v>
      </x:c>
      <x:c r="M1004" s="2" t="n">
        <x:f>ROUND(L1004*(1-I1004),2)</x:f>
        <x:v>3900</x:v>
      </x:c>
      <x:c r="N1004" s="2" t="n">
        <x:f>G1004*J1004</x:f>
        <x:v>1950</x:v>
      </x:c>
      <x:c r="O1004" s="2" t="n">
        <x:f>M1004-N1004-K1004</x:f>
        <x:v>1830</x:v>
      </x:c>
      <x:c r="P1004" s="1" t="str">
        <x:f>TEXT(B1004,"yyyy-mm")</x:f>
        <x:v>2025-02</x:v>
      </x:c>
    </x:row>
    <x:row r="1005">
      <x:c r="A1005" s="1" t="str">
        <x:v>ORD-1001</x:v>
      </x:c>
      <x:c r="B1005" s="4" t="d">
        <x:v>2025-12-05T00:00:00.000Z</x:v>
      </x:c>
      <x:c r="C1005" s="1" t="str">
        <x:v>C-015</x:v>
      </x:c>
      <x:c r="D1005" s="1" t="str">
        <x:v>North</x:v>
      </x:c>
      <x:c r="E1005" s="1" t="str">
        <x:v>Electronics</x:v>
      </x:c>
      <x:c r="F1005" s="1" t="str">
        <x:v>Keyboard</x:v>
      </x:c>
      <x:c r="G1005" s="1" t="n">
        <x:v>4</x:v>
      </x:c>
      <x:c r="H1005" s="2" t="n">
        <x:v>1500</x:v>
      </x:c>
      <x:c r="I1005" s="3" t="n">
        <x:v>0.1</x:v>
      </x:c>
      <x:c r="J1005" s="2" t="n">
        <x:v>900</x:v>
      </x:c>
      <x:c r="K1005" s="2" t="n">
        <x:v>120</x:v>
      </x:c>
      <x:c r="L1005" s="2" t="n">
        <x:f>G1005*H1005</x:f>
        <x:v>6000</x:v>
      </x:c>
      <x:c r="M1005" s="2" t="n">
        <x:f>ROUND(L1005*(1-I1005),2)</x:f>
        <x:v>5400</x:v>
      </x:c>
      <x:c r="N1005" s="2" t="n">
        <x:f>G1005*J1005</x:f>
        <x:v>3600</x:v>
      </x:c>
      <x:c r="O1005" s="2" t="n">
        <x:f>M1005-N1005-K1005</x:f>
        <x:v>1680</x:v>
      </x:c>
      <x:c r="P1005" s="1" t="str">
        <x:f>TEXT(B1005,"yyyy-mm")</x:f>
        <x:v>2025-12</x:v>
      </x:c>
    </x:row>
    <x:row r="1006">
      <x:c r="A1006" s="1" t="str">
        <x:v>ORD-1002</x:v>
      </x:c>
      <x:c r="B1006" s="4" t="d">
        <x:v>2025-10-31T00:00:00.000Z</x:v>
      </x:c>
      <x:c r="C1006" s="1" t="str">
        <x:v>C-138</x:v>
      </x:c>
      <x:c r="D1006" s="1" t="str">
        <x:v>North</x:v>
      </x:c>
      <x:c r="E1006" s="1" t="str">
        <x:v>Home</x:v>
      </x:c>
      <x:c r="F1006" s="1" t="str">
        <x:v>Desk lamp</x:v>
      </x:c>
      <x:c r="G1006" s="1" t="n">
        <x:v>3</x:v>
      </x:c>
      <x:c r="H1006" s="2" t="n">
        <x:v>1100</x:v>
      </x:c>
      <x:c r="I1006" s="3" t="n">
        <x:v>0.35</x:v>
      </x:c>
      <x:c r="J1006" s="2" t="n">
        <x:v>650</x:v>
      </x:c>
      <x:c r="K1006" s="2" t="n">
        <x:v>50</x:v>
      </x:c>
      <x:c r="L1006" s="2" t="n">
        <x:f>G1006*H1006</x:f>
        <x:v>3300</x:v>
      </x:c>
      <x:c r="M1006" s="2" t="n">
        <x:f>ROUND(L1006*(1-I1006),2)</x:f>
        <x:v>2145</x:v>
      </x:c>
      <x:c r="N1006" s="2" t="n">
        <x:f>G1006*J1006</x:f>
        <x:v>1950</x:v>
      </x:c>
      <x:c r="O1006" s="2" t="n">
        <x:f>M1006-N1006-K1006</x:f>
        <x:v>145</x:v>
      </x:c>
      <x:c r="P1006" s="1" t="str">
        <x:f>TEXT(B1006,"yyyy-mm")</x:f>
        <x:v>2025-10</x:v>
      </x:c>
    </x:row>
    <x:row r="1007">
      <x:c r="A1007" s="1" t="str">
        <x:v>ORD-1003</x:v>
      </x:c>
      <x:c r="B1007" s="4" t="d">
        <x:v>2025-10-31T00:00:00.000Z</x:v>
      </x:c>
      <x:c r="C1007" s="1" t="str">
        <x:v>C-292</x:v>
      </x:c>
      <x:c r="D1007" s="1" t="str">
        <x:v>South</x:v>
      </x:c>
      <x:c r="E1007" s="1" t="str">
        <x:v>Home</x:v>
      </x:c>
      <x:c r="F1007" s="1" t="str">
        <x:v>Desk lamp</x:v>
      </x:c>
      <x:c r="G1007" s="1" t="n">
        <x:v>2</x:v>
      </x:c>
      <x:c r="H1007" s="2" t="n">
        <x:v>1100</x:v>
      </x:c>
      <x:c r="I1007" s="3" t="n">
        <x:v>0.1</x:v>
      </x:c>
      <x:c r="J1007" s="2" t="n">
        <x:v>650</x:v>
      </x:c>
      <x:c r="K1007" s="2" t="n">
        <x:v>50</x:v>
      </x:c>
      <x:c r="L1007" s="2" t="n">
        <x:f>G1007*H1007</x:f>
        <x:v>2200</x:v>
      </x:c>
      <x:c r="M1007" s="2" t="n">
        <x:f>ROUND(L1007*(1-I1007),2)</x:f>
        <x:v>1980</x:v>
      </x:c>
      <x:c r="N1007" s="2" t="n">
        <x:f>G1007*J1007</x:f>
        <x:v>1300</x:v>
      </x:c>
      <x:c r="O1007" s="2" t="n">
        <x:f>M1007-N1007-K1007</x:f>
        <x:v>630</x:v>
      </x:c>
      <x:c r="P1007" s="1" t="str">
        <x:f>TEXT(B1007,"yyyy-mm")</x:f>
        <x:v>2025-10</x:v>
      </x:c>
    </x:row>
    <x:row r="1008">
      <x:c r="A1008" s="1" t="str">
        <x:v>ORD-1004</x:v>
      </x:c>
      <x:c r="B1008" s="4" t="d">
        <x:v>2025-11-26T00:00:00.000Z</x:v>
      </x:c>
      <x:c r="C1008" s="1" t="str">
        <x:v>C-029</x:v>
      </x:c>
      <x:c r="D1008" s="1" t="str">
        <x:v>North</x:v>
      </x:c>
      <x:c r="E1008" s="1" t="str">
        <x:v>Fashion</x:v>
      </x:c>
      <x:c r="F1008" s="1" t="str">
        <x:v>Sneakers</x:v>
      </x:c>
      <x:c r="G1008" s="1" t="n">
        <x:v>4</x:v>
      </x:c>
      <x:c r="H1008" s="2" t="n">
        <x:v>2400</x:v>
      </x:c>
      <x:c r="I1008" s="3" t="n">
        <x:v>0.1</x:v>
      </x:c>
      <x:c r="J1008" s="2" t="n">
        <x:v>1200</x:v>
      </x:c>
      <x:c r="K1008" s="2" t="n">
        <x:v>50</x:v>
      </x:c>
      <x:c r="L1008" s="2" t="n">
        <x:f>G1008*H1008</x:f>
        <x:v>9600</x:v>
      </x:c>
      <x:c r="M1008" s="2" t="n">
        <x:f>ROUND(L1008*(1-I1008),2)</x:f>
        <x:v>8640</x:v>
      </x:c>
      <x:c r="N1008" s="2" t="n">
        <x:f>G1008*J1008</x:f>
        <x:v>4800</x:v>
      </x:c>
      <x:c r="O1008" s="2" t="n">
        <x:f>M1008-N1008-K1008</x:f>
        <x:v>3790</x:v>
      </x:c>
      <x:c r="P1008" s="1" t="str">
        <x:f>TEXT(B1008,"yyyy-mm")</x:f>
        <x:v>2025-11</x:v>
      </x:c>
    </x:row>
    <x:row r="1009">
      <x:c r="A1009" s="1" t="str">
        <x:v>ORD-1005</x:v>
      </x:c>
      <x:c r="B1009" s="4" t="d">
        <x:v>2025-06-25T00:00:00.000Z</x:v>
      </x:c>
      <x:c r="C1009" s="1" t="str">
        <x:v>C-205</x:v>
      </x:c>
      <x:c r="D1009" s="1" t="str">
        <x:v>North</x:v>
      </x:c>
      <x:c r="E1009" s="1" t="str">
        <x:v>Electronics</x:v>
      </x:c>
      <x:c r="F1009" s="1" t="str">
        <x:v>Smartwatch</x:v>
      </x:c>
      <x:c r="G1009" s="1" t="n">
        <x:v>1</x:v>
      </x:c>
      <x:c r="H1009" s="2" t="n">
        <x:v>4200</x:v>
      </x:c>
      <x:c r="I1009" s="3" t="n">
        <x:v>0.05</x:v>
      </x:c>
      <x:c r="J1009" s="2" t="n">
        <x:v>3000</x:v>
      </x:c>
      <x:c r="K1009" s="2" t="n">
        <x:v>50</x:v>
      </x:c>
      <x:c r="L1009" s="2" t="n">
        <x:f>G1009*H1009</x:f>
        <x:v>4200</x:v>
      </x:c>
      <x:c r="M1009" s="2" t="n">
        <x:f>ROUND(L1009*(1-I1009),2)</x:f>
        <x:v>3990</x:v>
      </x:c>
      <x:c r="N1009" s="2" t="n">
        <x:f>G1009*J1009</x:f>
        <x:v>3000</x:v>
      </x:c>
      <x:c r="O1009" s="2" t="n">
        <x:f>M1009-N1009-K1009</x:f>
        <x:v>940</x:v>
      </x:c>
      <x:c r="P1009" s="1" t="str">
        <x:f>TEXT(B1009,"yyyy-mm")</x:f>
        <x:v>2025-06</x:v>
      </x:c>
    </x:row>
    <x:row r="1010">
      <x:c r="A1010" s="1" t="str">
        <x:v>ORD-1006</x:v>
      </x:c>
      <x:c r="B1010" s="4" t="d">
        <x:v>2025-03-21T00:00:00.000Z</x:v>
      </x:c>
      <x:c r="C1010" s="1" t="str">
        <x:v>C-079</x:v>
      </x:c>
      <x:c r="D1010" s="1" t="str">
        <x:v>North</x:v>
      </x:c>
      <x:c r="E1010" s="1" t="str">
        <x:v>Home</x:v>
      </x:c>
      <x:c r="F1010" s="1" t="str">
        <x:v>Office chair</x:v>
      </x:c>
      <x:c r="G1010" s="1" t="n">
        <x:v>3</x:v>
      </x:c>
      <x:c r="H1010" s="2" t="n">
        <x:v>5500</x:v>
      </x:c>
      <x:c r="I1010" s="3" t="n">
        <x:v>0.1</x:v>
      </x:c>
      <x:c r="J1010" s="2" t="n">
        <x:v>4400</x:v>
      </x:c>
      <x:c r="K1010" s="2" t="n">
        <x:v>80</x:v>
      </x:c>
      <x:c r="L1010" s="2" t="n">
        <x:f>G1010*H1010</x:f>
        <x:v>16500</x:v>
      </x:c>
      <x:c r="M1010" s="2" t="n">
        <x:f>ROUND(L1010*(1-I1010),2)</x:f>
        <x:v>14850</x:v>
      </x:c>
      <x:c r="N1010" s="2" t="n">
        <x:f>G1010*J1010</x:f>
        <x:v>13200</x:v>
      </x:c>
      <x:c r="O1010" s="2" t="n">
        <x:f>M1010-N1010-K1010</x:f>
        <x:v>1570</x:v>
      </x:c>
      <x:c r="P1010" s="1" t="str">
        <x:f>TEXT(B1010,"yyyy-mm")</x:f>
        <x:v>2025-03</x:v>
      </x:c>
    </x:row>
    <x:row r="1011">
      <x:c r="A1011" s="1" t="str">
        <x:v>ORD-1007</x:v>
      </x:c>
      <x:c r="B1011" s="4" t="d">
        <x:v>2025-11-20T00:00:00.000Z</x:v>
      </x:c>
      <x:c r="C1011" s="1" t="str">
        <x:v>C-068</x:v>
      </x:c>
      <x:c r="D1011" s="1" t="str">
        <x:v>East</x:v>
      </x:c>
      <x:c r="E1011" s="1" t="str">
        <x:v>Fashion</x:v>
      </x:c>
      <x:c r="F1011" s="1" t="str">
        <x:v>Sneakers</x:v>
      </x:c>
      <x:c r="G1011" s="1" t="n">
        <x:v>1</x:v>
      </x:c>
      <x:c r="H1011" s="2" t="n">
        <x:v>2400</x:v>
      </x:c>
      <x:c r="I1011" s="3" t="n">
        <x:v>0.35</x:v>
      </x:c>
      <x:c r="J1011" s="2" t="n">
        <x:v>1200</x:v>
      </x:c>
      <x:c r="K1011" s="2" t="n">
        <x:v>80</x:v>
      </x:c>
      <x:c r="L1011" s="2" t="n">
        <x:f>G1011*H1011</x:f>
        <x:v>2400</x:v>
      </x:c>
      <x:c r="M1011" s="2" t="n">
        <x:f>ROUND(L1011*(1-I1011),2)</x:f>
        <x:v>1560</x:v>
      </x:c>
      <x:c r="N1011" s="2" t="n">
        <x:f>G1011*J1011</x:f>
        <x:v>1200</x:v>
      </x:c>
      <x:c r="O1011" s="2" t="n">
        <x:f>M1011-N1011-K1011</x:f>
        <x:v>280</x:v>
      </x:c>
      <x:c r="P1011" s="1" t="str">
        <x:f>TEXT(B1011,"yyyy-mm")</x:f>
        <x:v>2025-11</x:v>
      </x:c>
    </x:row>
    <x:row r="1012">
      <x:c r="A1012" s="1" t="str">
        <x:v>ORD-1008</x:v>
      </x:c>
      <x:c r="B1012" s="4" t="d">
        <x:v>2025-08-29T00:00:00.000Z</x:v>
      </x:c>
      <x:c r="C1012" s="1" t="str">
        <x:v>C-199</x:v>
      </x:c>
      <x:c r="D1012" s="1" t="str">
        <x:v>West</x:v>
      </x:c>
      <x:c r="E1012" s="1" t="str">
        <x:v>Home</x:v>
      </x:c>
      <x:c r="F1012" s="1" t="str">
        <x:v>Desk lamp</x:v>
      </x:c>
      <x:c r="G1012" s="1" t="n">
        <x:v>3</x:v>
      </x:c>
      <x:c r="H1012" s="2" t="n">
        <x:v>1100</x:v>
      </x:c>
      <x:c r="I1012" s="3" t="n">
        <x:v>0.15</x:v>
      </x:c>
      <x:c r="J1012" s="2" t="n">
        <x:v>650</x:v>
      </x:c>
      <x:c r="K1012" s="2" t="n">
        <x:v>120</x:v>
      </x:c>
      <x:c r="L1012" s="2" t="n">
        <x:f>G1012*H1012</x:f>
        <x:v>3300</x:v>
      </x:c>
      <x:c r="M1012" s="2" t="n">
        <x:f>ROUND(L1012*(1-I1012),2)</x:f>
        <x:v>2805</x:v>
      </x:c>
      <x:c r="N1012" s="2" t="n">
        <x:f>G1012*J1012</x:f>
        <x:v>1950</x:v>
      </x:c>
      <x:c r="O1012" s="2" t="n">
        <x:f>M1012-N1012-K1012</x:f>
        <x:v>735</x:v>
      </x:c>
      <x:c r="P1012" s="1" t="str">
        <x:f>TEXT(B1012,"yyyy-mm")</x:f>
        <x:v>2025-08</x:v>
      </x:c>
    </x:row>
    <x:row r="1013">
      <x:c r="A1013" s="1" t="str">
        <x:v>ORD-1009</x:v>
      </x:c>
      <x:c r="B1013" s="4" t="d">
        <x:v>2025-09-26T00:00:00.000Z</x:v>
      </x:c>
      <x:c r="C1013" s="1" t="str">
        <x:v>C-189</x:v>
      </x:c>
      <x:c r="D1013" s="1" t="str">
        <x:v>South</x:v>
      </x:c>
      <x:c r="E1013" s="1" t="str">
        <x:v>Electronics</x:v>
      </x:c>
      <x:c r="F1013" s="1" t="str">
        <x:v>Keyboard</x:v>
      </x:c>
      <x:c r="G1013" s="1" t="n">
        <x:v>4</x:v>
      </x:c>
      <x:c r="H1013" s="2" t="n">
        <x:v>1500</x:v>
      </x:c>
      <x:c r="I1013" s="3" t="n">
        <x:v>0.15</x:v>
      </x:c>
      <x:c r="J1013" s="2" t="n">
        <x:v>900</x:v>
      </x:c>
      <x:c r="K1013" s="2" t="n">
        <x:v>120</x:v>
      </x:c>
      <x:c r="L1013" s="2" t="n">
        <x:f>G1013*H1013</x:f>
        <x:v>6000</x:v>
      </x:c>
      <x:c r="M1013" s="2" t="n">
        <x:f>ROUND(L1013*(1-I1013),2)</x:f>
        <x:v>5100</x:v>
      </x:c>
      <x:c r="N1013" s="2" t="n">
        <x:f>G1013*J1013</x:f>
        <x:v>3600</x:v>
      </x:c>
      <x:c r="O1013" s="2" t="n">
        <x:f>M1013-N1013-K1013</x:f>
        <x:v>1380</x:v>
      </x:c>
      <x:c r="P1013" s="1" t="str">
        <x:f>TEXT(B1013,"yyyy-mm")</x:f>
        <x:v>2025-09</x:v>
      </x:c>
    </x:row>
    <x:row r="1014">
      <x:c r="A1014" s="1" t="str">
        <x:v>ORD-1010</x:v>
      </x:c>
      <x:c r="B1014" s="4" t="d">
        <x:v>2025-07-11T00:00:00.000Z</x:v>
      </x:c>
      <x:c r="C1014" s="1" t="str">
        <x:v>C-238</x:v>
      </x:c>
      <x:c r="D1014" s="1" t="str">
        <x:v>South</x:v>
      </x:c>
      <x:c r="E1014" s="1" t="str">
        <x:v>Electronics</x:v>
      </x:c>
      <x:c r="F1014" s="1" t="str">
        <x:v>Headphones</x:v>
      </x:c>
      <x:c r="G1014" s="1" t="n">
        <x:v>2</x:v>
      </x:c>
      <x:c r="H1014" s="2" t="n">
        <x:v>2200</x:v>
      </x:c>
      <x:c r="I1014" s="3" t="n">
        <x:v>0.25</x:v>
      </x:c>
      <x:c r="J1014" s="2" t="n">
        <x:v>1450</x:v>
      </x:c>
      <x:c r="K1014" s="2" t="n">
        <x:v>80</x:v>
      </x:c>
      <x:c r="L1014" s="2" t="n">
        <x:f>G1014*H1014</x:f>
        <x:v>4400</x:v>
      </x:c>
      <x:c r="M1014" s="2" t="n">
        <x:f>ROUND(L1014*(1-I1014),2)</x:f>
        <x:v>3300</x:v>
      </x:c>
      <x:c r="N1014" s="2" t="n">
        <x:f>G1014*J1014</x:f>
        <x:v>2900</x:v>
      </x:c>
      <x:c r="O1014" s="2" t="n">
        <x:f>M1014-N1014-K1014</x:f>
        <x:v>320</x:v>
      </x:c>
      <x:c r="P1014" s="1" t="str">
        <x:f>TEXT(B1014,"yyyy-mm")</x:f>
        <x:v>2025-07</x:v>
      </x:c>
    </x:row>
    <x:row r="1015">
      <x:c r="A1015" s="1" t="str">
        <x:v>ORD-1011</x:v>
      </x:c>
      <x:c r="B1015" s="4" t="d">
        <x:v>2025-08-10T00:00:00.000Z</x:v>
      </x:c>
      <x:c r="C1015" s="1" t="str">
        <x:v>C-240</x:v>
      </x:c>
      <x:c r="D1015" s="1" t="str">
        <x:v>West</x:v>
      </x:c>
      <x:c r="E1015" s="1" t="str">
        <x:v>Home</x:v>
      </x:c>
      <x:c r="F1015" s="1" t="str">
        <x:v>Storage box</x:v>
      </x:c>
      <x:c r="G1015" s="1" t="n">
        <x:v>1</x:v>
      </x:c>
      <x:c r="H1015" s="2" t="n">
        <x:v>800</x:v>
      </x:c>
      <x:c r="I1015" s="3" t="n">
        <x:v>0</x:v>
      </x:c>
      <x:c r="J1015" s="2" t="n">
        <x:v>420</x:v>
      </x:c>
      <x:c r="K1015" s="2" t="n">
        <x:v>80</x:v>
      </x:c>
      <x:c r="L1015" s="2" t="n">
        <x:f>G1015*H1015</x:f>
        <x:v>800</x:v>
      </x:c>
      <x:c r="M1015" s="2" t="n">
        <x:f>ROUND(L1015*(1-I1015),2)</x:f>
        <x:v>800</x:v>
      </x:c>
      <x:c r="N1015" s="2" t="n">
        <x:f>G1015*J1015</x:f>
        <x:v>420</x:v>
      </x:c>
      <x:c r="O1015" s="2" t="n">
        <x:f>M1015-N1015-K1015</x:f>
        <x:v>300</x:v>
      </x:c>
      <x:c r="P1015" s="1" t="str">
        <x:f>TEXT(B1015,"yyyy-mm")</x:f>
        <x:v>2025-08</x:v>
      </x:c>
    </x:row>
    <x:row r="1016">
      <x:c r="A1016" s="1" t="str">
        <x:v>ORD-1012</x:v>
      </x:c>
      <x:c r="B1016" s="4" t="d">
        <x:v>2025-05-29T00:00:00.000Z</x:v>
      </x:c>
      <x:c r="C1016" s="1" t="str">
        <x:v>C-154</x:v>
      </x:c>
      <x:c r="D1016" s="1" t="str">
        <x:v>South</x:v>
      </x:c>
      <x:c r="E1016" s="1" t="str">
        <x:v>Electronics</x:v>
      </x:c>
      <x:c r="F1016" s="1" t="str">
        <x:v>Smartwatch</x:v>
      </x:c>
      <x:c r="G1016" s="1" t="n">
        <x:v>4</x:v>
      </x:c>
      <x:c r="H1016" s="2" t="n">
        <x:v>4200</x:v>
      </x:c>
      <x:c r="I1016" s="3" t="n">
        <x:v>0.35</x:v>
      </x:c>
      <x:c r="J1016" s="2" t="n">
        <x:v>3000</x:v>
      </x:c>
      <x:c r="K1016" s="2" t="n">
        <x:v>80</x:v>
      </x:c>
      <x:c r="L1016" s="2" t="n">
        <x:f>G1016*H1016</x:f>
        <x:v>16800</x:v>
      </x:c>
      <x:c r="M1016" s="2" t="n">
        <x:f>ROUND(L1016*(1-I1016),2)</x:f>
        <x:v>10920</x:v>
      </x:c>
      <x:c r="N1016" s="2" t="n">
        <x:f>G1016*J1016</x:f>
        <x:v>12000</x:v>
      </x:c>
      <x:c r="O1016" s="2" t="n">
        <x:f>M1016-N1016-K1016</x:f>
        <x:v>-1160</x:v>
      </x:c>
      <x:c r="P1016" s="1" t="str">
        <x:f>TEXT(B1016,"yyyy-mm")</x:f>
        <x:v>2025-05</x:v>
      </x:c>
    </x:row>
    <x:row r="1017">
      <x:c r="A1017" s="1" t="str">
        <x:v>ORD-1013</x:v>
      </x:c>
      <x:c r="B1017" s="4" t="d">
        <x:v>2025-08-30T00:00:00.000Z</x:v>
      </x:c>
      <x:c r="C1017" s="1" t="str">
        <x:v>C-024</x:v>
      </x:c>
      <x:c r="D1017" s="1" t="str">
        <x:v>North</x:v>
      </x:c>
      <x:c r="E1017" s="1" t="str">
        <x:v>Home</x:v>
      </x:c>
      <x:c r="F1017" s="1" t="str">
        <x:v>Storage box</x:v>
      </x:c>
      <x:c r="G1017" s="1" t="n">
        <x:v>4</x:v>
      </x:c>
      <x:c r="H1017" s="2" t="n">
        <x:v>800</x:v>
      </x:c>
      <x:c r="I1017" s="3" t="n">
        <x:v>0</x:v>
      </x:c>
      <x:c r="J1017" s="2" t="n">
        <x:v>420</x:v>
      </x:c>
      <x:c r="K1017" s="2" t="n">
        <x:v>80</x:v>
      </x:c>
      <x:c r="L1017" s="2" t="n">
        <x:f>G1017*H1017</x:f>
        <x:v>3200</x:v>
      </x:c>
      <x:c r="M1017" s="2" t="n">
        <x:f>ROUND(L1017*(1-I1017),2)</x:f>
        <x:v>3200</x:v>
      </x:c>
      <x:c r="N1017" s="2" t="n">
        <x:f>G1017*J1017</x:f>
        <x:v>1680</x:v>
      </x:c>
      <x:c r="O1017" s="2" t="n">
        <x:f>M1017-N1017-K1017</x:f>
        <x:v>1440</x:v>
      </x:c>
      <x:c r="P1017" s="1" t="str">
        <x:f>TEXT(B1017,"yyyy-mm")</x:f>
        <x:v>2025-08</x:v>
      </x:c>
    </x:row>
    <x:row r="1018">
      <x:c r="A1018" s="1" t="str">
        <x:v>ORD-1014</x:v>
      </x:c>
      <x:c r="B1018" s="4" t="d">
        <x:v>2025-02-09T00:00:00.000Z</x:v>
      </x:c>
      <x:c r="C1018" s="1" t="str">
        <x:v>C-300</x:v>
      </x:c>
      <x:c r="D1018" s="1" t="str">
        <x:v>North</x:v>
      </x:c>
      <x:c r="E1018" s="1" t="str">
        <x:v>Fashion</x:v>
      </x:c>
      <x:c r="F1018" s="1" t="str">
        <x:v>Sneakers</x:v>
      </x:c>
      <x:c r="G1018" s="1" t="n">
        <x:v>1</x:v>
      </x:c>
      <x:c r="H1018" s="2" t="n">
        <x:v>2400</x:v>
      </x:c>
      <x:c r="I1018" s="3" t="n">
        <x:v>0.1</x:v>
      </x:c>
      <x:c r="J1018" s="2" t="n">
        <x:v>1200</x:v>
      </x:c>
      <x:c r="K1018" s="2" t="n">
        <x:v>50</x:v>
      </x:c>
      <x:c r="L1018" s="2" t="n">
        <x:f>G1018*H1018</x:f>
        <x:v>2400</x:v>
      </x:c>
      <x:c r="M1018" s="2" t="n">
        <x:f>ROUND(L1018*(1-I1018),2)</x:f>
        <x:v>2160</x:v>
      </x:c>
      <x:c r="N1018" s="2" t="n">
        <x:f>G1018*J1018</x:f>
        <x:v>1200</x:v>
      </x:c>
      <x:c r="O1018" s="2" t="n">
        <x:f>M1018-N1018-K1018</x:f>
        <x:v>910</x:v>
      </x:c>
      <x:c r="P1018" s="1" t="str">
        <x:f>TEXT(B1018,"yyyy-mm")</x:f>
        <x:v>2025-02</x:v>
      </x:c>
    </x:row>
    <x:row r="1019">
      <x:c r="A1019" s="1" t="str">
        <x:v>ORD-1015</x:v>
      </x:c>
      <x:c r="B1019" s="4" t="d">
        <x:v>2025-10-26T00:00:00.000Z</x:v>
      </x:c>
      <x:c r="C1019" s="1" t="str">
        <x:v>C-094</x:v>
      </x:c>
      <x:c r="D1019" s="1" t="str">
        <x:v>West</x:v>
      </x:c>
      <x:c r="E1019" s="1" t="str">
        <x:v>Home</x:v>
      </x:c>
      <x:c r="F1019" s="1" t="str">
        <x:v>Desk lamp</x:v>
      </x:c>
      <x:c r="G1019" s="1" t="n">
        <x:v>1</x:v>
      </x:c>
      <x:c r="H1019" s="2" t="n">
        <x:v>1100</x:v>
      </x:c>
      <x:c r="I1019" s="3" t="n">
        <x:v>0.05</x:v>
      </x:c>
      <x:c r="J1019" s="2" t="n">
        <x:v>650</x:v>
      </x:c>
      <x:c r="K1019" s="2" t="n">
        <x:v>50</x:v>
      </x:c>
      <x:c r="L1019" s="2" t="n">
        <x:f>G1019*H1019</x:f>
        <x:v>1100</x:v>
      </x:c>
      <x:c r="M1019" s="2" t="n">
        <x:f>ROUND(L1019*(1-I1019),2)</x:f>
        <x:v>1045</x:v>
      </x:c>
      <x:c r="N1019" s="2" t="n">
        <x:f>G1019*J1019</x:f>
        <x:v>650</x:v>
      </x:c>
      <x:c r="O1019" s="2" t="n">
        <x:f>M1019-N1019-K1019</x:f>
        <x:v>345</x:v>
      </x:c>
      <x:c r="P1019" s="1" t="str">
        <x:f>TEXT(B1019,"yyyy-mm")</x:f>
        <x:v>2025-10</x:v>
      </x:c>
    </x:row>
    <x:row r="1020">
      <x:c r="A1020" s="1" t="str">
        <x:v>ORD-1016</x:v>
      </x:c>
      <x:c r="B1020" s="4" t="d">
        <x:v>2025-07-19T00:00:00.000Z</x:v>
      </x:c>
      <x:c r="C1020" s="1" t="str">
        <x:v>C-233</x:v>
      </x:c>
      <x:c r="D1020" s="1" t="str">
        <x:v>West</x:v>
      </x:c>
      <x:c r="E1020" s="1" t="str">
        <x:v>Fashion</x:v>
      </x:c>
      <x:c r="F1020" s="1" t="str">
        <x:v>Sneakers</x:v>
      </x:c>
      <x:c r="G1020" s="1" t="n">
        <x:v>3</x:v>
      </x:c>
      <x:c r="H1020" s="2" t="n">
        <x:v>2400</x:v>
      </x:c>
      <x:c r="I1020" s="3" t="n">
        <x:v>0.1</x:v>
      </x:c>
      <x:c r="J1020" s="2" t="n">
        <x:v>1200</x:v>
      </x:c>
      <x:c r="K1020" s="2" t="n">
        <x:v>80</x:v>
      </x:c>
      <x:c r="L1020" s="2" t="n">
        <x:f>G1020*H1020</x:f>
        <x:v>7200</x:v>
      </x:c>
      <x:c r="M1020" s="2" t="n">
        <x:f>ROUND(L1020*(1-I1020),2)</x:f>
        <x:v>6480</x:v>
      </x:c>
      <x:c r="N1020" s="2" t="n">
        <x:f>G1020*J1020</x:f>
        <x:v>3600</x:v>
      </x:c>
      <x:c r="O1020" s="2" t="n">
        <x:f>M1020-N1020-K1020</x:f>
        <x:v>2800</x:v>
      </x:c>
      <x:c r="P1020" s="1" t="str">
        <x:f>TEXT(B1020,"yyyy-mm")</x:f>
        <x:v>2025-07</x:v>
      </x:c>
    </x:row>
    <x:row r="1021">
      <x:c r="A1021" s="1" t="str">
        <x:v>ORD-1017</x:v>
      </x:c>
      <x:c r="B1021" s="4" t="d">
        <x:v>2025-12-06T00:00:00.000Z</x:v>
      </x:c>
      <x:c r="C1021" s="1" t="str">
        <x:v>C-041</x:v>
      </x:c>
      <x:c r="D1021" s="1" t="str">
        <x:v>East</x:v>
      </x:c>
      <x:c r="E1021" s="1" t="str">
        <x:v>Electronics</x:v>
      </x:c>
      <x:c r="F1021" s="1" t="str">
        <x:v>Smartwatch</x:v>
      </x:c>
      <x:c r="G1021" s="1" t="n">
        <x:v>1</x:v>
      </x:c>
      <x:c r="H1021" s="2" t="n">
        <x:v>4200</x:v>
      </x:c>
      <x:c r="I1021" s="3" t="n">
        <x:v>0.05</x:v>
      </x:c>
      <x:c r="J1021" s="2" t="n">
        <x:v>3000</x:v>
      </x:c>
      <x:c r="K1021" s="2" t="n">
        <x:v>80</x:v>
      </x:c>
      <x:c r="L1021" s="2" t="n">
        <x:f>G1021*H1021</x:f>
        <x:v>4200</x:v>
      </x:c>
      <x:c r="M1021" s="2" t="n">
        <x:f>ROUND(L1021*(1-I1021),2)</x:f>
        <x:v>3990</x:v>
      </x:c>
      <x:c r="N1021" s="2" t="n">
        <x:f>G1021*J1021</x:f>
        <x:v>3000</x:v>
      </x:c>
      <x:c r="O1021" s="2" t="n">
        <x:f>M1021-N1021-K1021</x:f>
        <x:v>910</x:v>
      </x:c>
      <x:c r="P1021" s="1" t="str">
        <x:f>TEXT(B1021,"yyyy-mm")</x:f>
        <x:v>2025-12</x:v>
      </x:c>
    </x:row>
    <x:row r="1022">
      <x:c r="A1022" s="1" t="str">
        <x:v>ORD-1018</x:v>
      </x:c>
      <x:c r="B1022" s="4" t="d">
        <x:v>2025-08-04T00:00:00.000Z</x:v>
      </x:c>
      <x:c r="C1022" s="1" t="str">
        <x:v>C-007</x:v>
      </x:c>
      <x:c r="D1022" s="1" t="str">
        <x:v>South</x:v>
      </x:c>
      <x:c r="E1022" s="1" t="str">
        <x:v>Electronics</x:v>
      </x:c>
      <x:c r="F1022" s="1" t="str">
        <x:v>Headphones</x:v>
      </x:c>
      <x:c r="G1022" s="1" t="n">
        <x:v>4</x:v>
      </x:c>
      <x:c r="H1022" s="2" t="n">
        <x:v>2200</x:v>
      </x:c>
      <x:c r="I1022" s="3" t="n">
        <x:v>0.15</x:v>
      </x:c>
      <x:c r="J1022" s="2" t="n">
        <x:v>1450</x:v>
      </x:c>
      <x:c r="K1022" s="2" t="n">
        <x:v>80</x:v>
      </x:c>
      <x:c r="L1022" s="2" t="n">
        <x:f>G1022*H1022</x:f>
        <x:v>8800</x:v>
      </x:c>
      <x:c r="M1022" s="2" t="n">
        <x:f>ROUND(L1022*(1-I1022),2)</x:f>
        <x:v>7480</x:v>
      </x:c>
      <x:c r="N1022" s="2" t="n">
        <x:f>G1022*J1022</x:f>
        <x:v>5800</x:v>
      </x:c>
      <x:c r="O1022" s="2" t="n">
        <x:f>M1022-N1022-K1022</x:f>
        <x:v>1600</x:v>
      </x:c>
      <x:c r="P1022" s="1" t="str">
        <x:f>TEXT(B1022,"yyyy-mm")</x:f>
        <x:v>2025-08</x:v>
      </x:c>
    </x:row>
    <x:row r="1023">
      <x:c r="A1023" s="1" t="str">
        <x:v>ORD-1019</x:v>
      </x:c>
      <x:c r="B1023" s="4" t="d">
        <x:v>2025-10-20T00:00:00.000Z</x:v>
      </x:c>
      <x:c r="C1023" s="1" t="str">
        <x:v>C-185</x:v>
      </x:c>
      <x:c r="D1023" s="1" t="str">
        <x:v>West</x:v>
      </x:c>
      <x:c r="E1023" s="1" t="str">
        <x:v>Home</x:v>
      </x:c>
      <x:c r="F1023" s="1" t="str">
        <x:v>Desk lamp</x:v>
      </x:c>
      <x:c r="G1023" s="1" t="n">
        <x:v>3</x:v>
      </x:c>
      <x:c r="H1023" s="2" t="n">
        <x:v>1100</x:v>
      </x:c>
      <x:c r="I1023" s="3" t="n">
        <x:v>0.1</x:v>
      </x:c>
      <x:c r="J1023" s="2" t="n">
        <x:v>650</x:v>
      </x:c>
      <x:c r="K1023" s="2" t="n">
        <x:v>50</x:v>
      </x:c>
      <x:c r="L1023" s="2" t="n">
        <x:f>G1023*H1023</x:f>
        <x:v>3300</x:v>
      </x:c>
      <x:c r="M1023" s="2" t="n">
        <x:f>ROUND(L1023*(1-I1023),2)</x:f>
        <x:v>2970</x:v>
      </x:c>
      <x:c r="N1023" s="2" t="n">
        <x:f>G1023*J1023</x:f>
        <x:v>1950</x:v>
      </x:c>
      <x:c r="O1023" s="2" t="n">
        <x:f>M1023-N1023-K1023</x:f>
        <x:v>970</x:v>
      </x:c>
      <x:c r="P1023" s="1" t="str">
        <x:f>TEXT(B1023,"yyyy-mm")</x:f>
        <x:v>2025-10</x:v>
      </x:c>
    </x:row>
    <x:row r="1024">
      <x:c r="A1024" s="1" t="str">
        <x:v>ORD-1020</x:v>
      </x:c>
      <x:c r="B1024" s="4" t="d">
        <x:v>2025-03-04T00:00:00.000Z</x:v>
      </x:c>
      <x:c r="C1024" s="1" t="str">
        <x:v>C-009</x:v>
      </x:c>
      <x:c r="D1024" s="1" t="str">
        <x:v>South</x:v>
      </x:c>
      <x:c r="E1024" s="1" t="str">
        <x:v>Electronics</x:v>
      </x:c>
      <x:c r="F1024" s="1" t="str">
        <x:v>Headphones</x:v>
      </x:c>
      <x:c r="G1024" s="1" t="n">
        <x:v>1</x:v>
      </x:c>
      <x:c r="H1024" s="2" t="n">
        <x:v>2200</x:v>
      </x:c>
      <x:c r="I1024" s="3" t="n">
        <x:v>0.05</x:v>
      </x:c>
      <x:c r="J1024" s="2" t="n">
        <x:v>1450</x:v>
      </x:c>
      <x:c r="K1024" s="2" t="n">
        <x:v>50</x:v>
      </x:c>
      <x:c r="L1024" s="2" t="n">
        <x:f>G1024*H1024</x:f>
        <x:v>2200</x:v>
      </x:c>
      <x:c r="M1024" s="2" t="n">
        <x:f>ROUND(L1024*(1-I1024),2)</x:f>
        <x:v>2090</x:v>
      </x:c>
      <x:c r="N1024" s="2" t="n">
        <x:f>G1024*J1024</x:f>
        <x:v>1450</x:v>
      </x:c>
      <x:c r="O1024" s="2" t="n">
        <x:f>M1024-N1024-K1024</x:f>
        <x:v>590</x:v>
      </x:c>
      <x:c r="P1024" s="1" t="str">
        <x:f>TEXT(B1024,"yyyy-mm")</x:f>
        <x:v>2025-03</x:v>
      </x:c>
    </x:row>
    <x:row r="1025">
      <x:c r="A1025" s="1" t="str">
        <x:v>ORD-1021</x:v>
      </x:c>
      <x:c r="B1025" s="4" t="d">
        <x:v>2025-07-08T00:00:00.000Z</x:v>
      </x:c>
      <x:c r="C1025" s="1" t="str">
        <x:v>C-224</x:v>
      </x:c>
      <x:c r="D1025" s="1" t="str">
        <x:v>South</x:v>
      </x:c>
      <x:c r="E1025" s="1" t="str">
        <x:v>Electronics</x:v>
      </x:c>
      <x:c r="F1025" s="1" t="str">
        <x:v>Smartwatch</x:v>
      </x:c>
      <x:c r="G1025" s="1" t="n">
        <x:v>1</x:v>
      </x:c>
      <x:c r="H1025" s="2" t="n">
        <x:v>4200</x:v>
      </x:c>
      <x:c r="I1025" s="3" t="n">
        <x:v>0.35</x:v>
      </x:c>
      <x:c r="J1025" s="2" t="n">
        <x:v>3000</x:v>
      </x:c>
      <x:c r="K1025" s="2" t="n">
        <x:v>80</x:v>
      </x:c>
      <x:c r="L1025" s="2" t="n">
        <x:f>G1025*H1025</x:f>
        <x:v>4200</x:v>
      </x:c>
      <x:c r="M1025" s="2" t="n">
        <x:f>ROUND(L1025*(1-I1025),2)</x:f>
        <x:v>2730</x:v>
      </x:c>
      <x:c r="N1025" s="2" t="n">
        <x:f>G1025*J1025</x:f>
        <x:v>3000</x:v>
      </x:c>
      <x:c r="O1025" s="2" t="n">
        <x:f>M1025-N1025-K1025</x:f>
        <x:v>-350</x:v>
      </x:c>
      <x:c r="P1025" s="1" t="str">
        <x:f>TEXT(B1025,"yyyy-mm")</x:f>
        <x:v>2025-07</x:v>
      </x:c>
    </x:row>
    <x:row r="1026">
      <x:c r="A1026" s="1" t="str">
        <x:v>ORD-1022</x:v>
      </x:c>
      <x:c r="B1026" s="4" t="d">
        <x:v>2025-11-14T00:00:00.000Z</x:v>
      </x:c>
      <x:c r="C1026" s="1" t="str">
        <x:v>C-012</x:v>
      </x:c>
      <x:c r="D1026" s="1" t="str">
        <x:v>North</x:v>
      </x:c>
      <x:c r="E1026" s="1" t="str">
        <x:v>Electronics</x:v>
      </x:c>
      <x:c r="F1026" s="1" t="str">
        <x:v>Smartwatch</x:v>
      </x:c>
      <x:c r="G1026" s="1" t="n">
        <x:v>2</x:v>
      </x:c>
      <x:c r="H1026" s="2" t="n">
        <x:v>4200</x:v>
      </x:c>
      <x:c r="I1026" s="3" t="n">
        <x:v>0.15</x:v>
      </x:c>
      <x:c r="J1026" s="2" t="n">
        <x:v>3000</x:v>
      </x:c>
      <x:c r="K1026" s="2" t="n">
        <x:v>50</x:v>
      </x:c>
      <x:c r="L1026" s="2" t="n">
        <x:f>G1026*H1026</x:f>
        <x:v>8400</x:v>
      </x:c>
      <x:c r="M1026" s="2" t="n">
        <x:f>ROUND(L1026*(1-I1026),2)</x:f>
        <x:v>7140</x:v>
      </x:c>
      <x:c r="N1026" s="2" t="n">
        <x:f>G1026*J1026</x:f>
        <x:v>6000</x:v>
      </x:c>
      <x:c r="O1026" s="2" t="n">
        <x:f>M1026-N1026-K1026</x:f>
        <x:v>1090</x:v>
      </x:c>
      <x:c r="P1026" s="1" t="str">
        <x:f>TEXT(B1026,"yyyy-mm")</x:f>
        <x:v>2025-11</x:v>
      </x:c>
    </x:row>
    <x:row r="1027">
      <x:c r="A1027" s="1" t="str">
        <x:v>ORD-1023</x:v>
      </x:c>
      <x:c r="B1027" s="4" t="d">
        <x:v>2025-10-16T00:00:00.000Z</x:v>
      </x:c>
      <x:c r="C1027" s="1" t="str">
        <x:v>C-011</x:v>
      </x:c>
      <x:c r="D1027" s="1" t="str">
        <x:v>West</x:v>
      </x:c>
      <x:c r="E1027" s="1" t="str">
        <x:v>Home</x:v>
      </x:c>
      <x:c r="F1027" s="1" t="str">
        <x:v>Desk lamp</x:v>
      </x:c>
      <x:c r="G1027" s="1" t="n">
        <x:v>2</x:v>
      </x:c>
      <x:c r="H1027" s="2" t="n">
        <x:v>1100</x:v>
      </x:c>
      <x:c r="I1027" s="3" t="n">
        <x:v>0.15</x:v>
      </x:c>
      <x:c r="J1027" s="2" t="n">
        <x:v>650</x:v>
      </x:c>
      <x:c r="K1027" s="2" t="n">
        <x:v>50</x:v>
      </x:c>
      <x:c r="L1027" s="2" t="n">
        <x:f>G1027*H1027</x:f>
        <x:v>2200</x:v>
      </x:c>
      <x:c r="M1027" s="2" t="n">
        <x:f>ROUND(L1027*(1-I1027),2)</x:f>
        <x:v>1870</x:v>
      </x:c>
      <x:c r="N1027" s="2" t="n">
        <x:f>G1027*J1027</x:f>
        <x:v>1300</x:v>
      </x:c>
      <x:c r="O1027" s="2" t="n">
        <x:f>M1027-N1027-K1027</x:f>
        <x:v>520</x:v>
      </x:c>
      <x:c r="P1027" s="1" t="str">
        <x:f>TEXT(B1027,"yyyy-mm")</x:f>
        <x:v>2025-10</x:v>
      </x:c>
    </x:row>
    <x:row r="1028">
      <x:c r="A1028" s="1" t="str">
        <x:v>ORD-1024</x:v>
      </x:c>
      <x:c r="B1028" s="4" t="d">
        <x:v>2025-05-11T00:00:00.000Z</x:v>
      </x:c>
      <x:c r="C1028" s="1" t="str">
        <x:v>C-005</x:v>
      </x:c>
      <x:c r="D1028" s="1" t="str">
        <x:v>North</x:v>
      </x:c>
      <x:c r="E1028" s="1" t="str">
        <x:v>Home</x:v>
      </x:c>
      <x:c r="F1028" s="1" t="str">
        <x:v>Office chair</x:v>
      </x:c>
      <x:c r="G1028" s="1" t="n">
        <x:v>4</x:v>
      </x:c>
      <x:c r="H1028" s="2" t="n">
        <x:v>5500</x:v>
      </x:c>
      <x:c r="I1028" s="3" t="n">
        <x:v>0</x:v>
      </x:c>
      <x:c r="J1028" s="2" t="n">
        <x:v>4400</x:v>
      </x:c>
      <x:c r="K1028" s="2" t="n">
        <x:v>80</x:v>
      </x:c>
      <x:c r="L1028" s="2" t="n">
        <x:f>G1028*H1028</x:f>
        <x:v>22000</x:v>
      </x:c>
      <x:c r="M1028" s="2" t="n">
        <x:f>ROUND(L1028*(1-I1028),2)</x:f>
        <x:v>22000</x:v>
      </x:c>
      <x:c r="N1028" s="2" t="n">
        <x:f>G1028*J1028</x:f>
        <x:v>17600</x:v>
      </x:c>
      <x:c r="O1028" s="2" t="n">
        <x:f>M1028-N1028-K1028</x:f>
        <x:v>4320</x:v>
      </x:c>
      <x:c r="P1028" s="1" t="str">
        <x:f>TEXT(B1028,"yyyy-mm")</x:f>
        <x:v>2025-05</x:v>
      </x:c>
    </x:row>
    <x:row r="1029">
      <x:c r="A1029" s="1" t="str">
        <x:v>ORD-1025</x:v>
      </x:c>
      <x:c r="B1029" s="4" t="d">
        <x:v>2025-11-02T00:00:00.000Z</x:v>
      </x:c>
      <x:c r="C1029" s="1" t="str">
        <x:v>C-250</x:v>
      </x:c>
      <x:c r="D1029" s="1" t="str">
        <x:v>West</x:v>
      </x:c>
      <x:c r="E1029" s="1" t="str">
        <x:v>Home</x:v>
      </x:c>
      <x:c r="F1029" s="1" t="str">
        <x:v>Storage box</x:v>
      </x:c>
      <x:c r="G1029" s="1" t="n">
        <x:v>4</x:v>
      </x:c>
      <x:c r="H1029" s="2" t="n">
        <x:v>800</x:v>
      </x:c>
      <x:c r="I1029" s="3" t="n">
        <x:v>0.1</x:v>
      </x:c>
      <x:c r="J1029" s="2" t="n">
        <x:v>420</x:v>
      </x:c>
      <x:c r="K1029" s="2" t="n">
        <x:v>120</x:v>
      </x:c>
      <x:c r="L1029" s="2" t="n">
        <x:f>G1029*H1029</x:f>
        <x:v>3200</x:v>
      </x:c>
      <x:c r="M1029" s="2" t="n">
        <x:f>ROUND(L1029*(1-I1029),2)</x:f>
        <x:v>2880</x:v>
      </x:c>
      <x:c r="N1029" s="2" t="n">
        <x:f>G1029*J1029</x:f>
        <x:v>1680</x:v>
      </x:c>
      <x:c r="O1029" s="2" t="n">
        <x:f>M1029-N1029-K1029</x:f>
        <x:v>1080</x:v>
      </x:c>
      <x:c r="P1029" s="1" t="str">
        <x:f>TEXT(B1029,"yyyy-mm")</x:f>
        <x:v>2025-11</x:v>
      </x:c>
    </x:row>
    <x:row r="1030">
      <x:c r="A1030" s="1" t="str">
        <x:v>ORD-1026</x:v>
      </x:c>
      <x:c r="B1030" s="4" t="d">
        <x:v>2025-09-23T00:00:00.000Z</x:v>
      </x:c>
      <x:c r="C1030" s="1" t="str">
        <x:v>C-032</x:v>
      </x:c>
      <x:c r="D1030" s="1" t="str">
        <x:v>North</x:v>
      </x:c>
      <x:c r="E1030" s="1" t="str">
        <x:v>Home</x:v>
      </x:c>
      <x:c r="F1030" s="1" t="str">
        <x:v>Desk lamp</x:v>
      </x:c>
      <x:c r="G1030" s="1" t="n">
        <x:v>4</x:v>
      </x:c>
      <x:c r="H1030" s="2" t="n">
        <x:v>1100</x:v>
      </x:c>
      <x:c r="I1030" s="3" t="n">
        <x:v>0.05</x:v>
      </x:c>
      <x:c r="J1030" s="2" t="n">
        <x:v>650</x:v>
      </x:c>
      <x:c r="K1030" s="2" t="n">
        <x:v>120</x:v>
      </x:c>
      <x:c r="L1030" s="2" t="n">
        <x:f>G1030*H1030</x:f>
        <x:v>4400</x:v>
      </x:c>
      <x:c r="M1030" s="2" t="n">
        <x:f>ROUND(L1030*(1-I1030),2)</x:f>
        <x:v>4180</x:v>
      </x:c>
      <x:c r="N1030" s="2" t="n">
        <x:f>G1030*J1030</x:f>
        <x:v>2600</x:v>
      </x:c>
      <x:c r="O1030" s="2" t="n">
        <x:f>M1030-N1030-K1030</x:f>
        <x:v>1460</x:v>
      </x:c>
      <x:c r="P1030" s="1" t="str">
        <x:f>TEXT(B1030,"yyyy-mm")</x:f>
        <x:v>2025-09</x:v>
      </x:c>
    </x:row>
    <x:row r="1031">
      <x:c r="A1031" s="1" t="str">
        <x:v>ORD-1027</x:v>
      </x:c>
      <x:c r="B1031" s="4" t="d">
        <x:v>2025-05-29T00:00:00.000Z</x:v>
      </x:c>
      <x:c r="C1031" s="1" t="str">
        <x:v>C-214</x:v>
      </x:c>
      <x:c r="D1031" s="1" t="str">
        <x:v>West</x:v>
      </x:c>
      <x:c r="E1031" s="1" t="str">
        <x:v>Electronics</x:v>
      </x:c>
      <x:c r="F1031" s="1" t="str">
        <x:v>Keyboard</x:v>
      </x:c>
      <x:c r="G1031" s="1" t="n">
        <x:v>1</x:v>
      </x:c>
      <x:c r="H1031" s="2" t="n">
        <x:v>1500</x:v>
      </x:c>
      <x:c r="I1031" s="3" t="n">
        <x:v>0.1</x:v>
      </x:c>
      <x:c r="J1031" s="2" t="n">
        <x:v>900</x:v>
      </x:c>
      <x:c r="K1031" s="2" t="n">
        <x:v>80</x:v>
      </x:c>
      <x:c r="L1031" s="2" t="n">
        <x:f>G1031*H1031</x:f>
        <x:v>1500</x:v>
      </x:c>
      <x:c r="M1031" s="2" t="n">
        <x:f>ROUND(L1031*(1-I1031),2)</x:f>
        <x:v>1350</x:v>
      </x:c>
      <x:c r="N1031" s="2" t="n">
        <x:f>G1031*J1031</x:f>
        <x:v>900</x:v>
      </x:c>
      <x:c r="O1031" s="2" t="n">
        <x:f>M1031-N1031-K1031</x:f>
        <x:v>370</x:v>
      </x:c>
      <x:c r="P1031" s="1" t="str">
        <x:f>TEXT(B1031,"yyyy-mm")</x:f>
        <x:v>2025-05</x:v>
      </x:c>
    </x:row>
    <x:row r="1032">
      <x:c r="A1032" s="1" t="str">
        <x:v>ORD-1028</x:v>
      </x:c>
      <x:c r="B1032" s="4" t="d">
        <x:v>2025-09-23T00:00:00.000Z</x:v>
      </x:c>
      <x:c r="C1032" s="1" t="str">
        <x:v>C-224</x:v>
      </x:c>
      <x:c r="D1032" s="1" t="str">
        <x:v>North</x:v>
      </x:c>
      <x:c r="E1032" s="1" t="str">
        <x:v>Fashion</x:v>
      </x:c>
      <x:c r="F1032" s="1" t="str">
        <x:v>Backpack</x:v>
      </x:c>
      <x:c r="G1032" s="1" t="n">
        <x:v>2</x:v>
      </x:c>
      <x:c r="H1032" s="2" t="n">
        <x:v>1300</x:v>
      </x:c>
      <x:c r="I1032" s="3" t="n">
        <x:v>0.15</x:v>
      </x:c>
      <x:c r="J1032" s="2" t="n">
        <x:v>650</x:v>
      </x:c>
      <x:c r="K1032" s="2" t="n">
        <x:v>80</x:v>
      </x:c>
      <x:c r="L1032" s="2" t="n">
        <x:f>G1032*H1032</x:f>
        <x:v>2600</x:v>
      </x:c>
      <x:c r="M1032" s="2" t="n">
        <x:f>ROUND(L1032*(1-I1032),2)</x:f>
        <x:v>2210</x:v>
      </x:c>
      <x:c r="N1032" s="2" t="n">
        <x:f>G1032*J1032</x:f>
        <x:v>1300</x:v>
      </x:c>
      <x:c r="O1032" s="2" t="n">
        <x:f>M1032-N1032-K1032</x:f>
        <x:v>830</x:v>
      </x:c>
      <x:c r="P1032" s="1" t="str">
        <x:f>TEXT(B1032,"yyyy-mm")</x:f>
        <x:v>2025-09</x:v>
      </x:c>
    </x:row>
    <x:row r="1033">
      <x:c r="A1033" s="1" t="str">
        <x:v>ORD-1029</x:v>
      </x:c>
      <x:c r="B1033" s="4" t="d">
        <x:v>2025-10-15T00:00:00.000Z</x:v>
      </x:c>
      <x:c r="C1033" s="1" t="str">
        <x:v>C-119</x:v>
      </x:c>
      <x:c r="D1033" s="1" t="str">
        <x:v>South</x:v>
      </x:c>
      <x:c r="E1033" s="1" t="str">
        <x:v>Home</x:v>
      </x:c>
      <x:c r="F1033" s="1" t="str">
        <x:v>Desk lamp</x:v>
      </x:c>
      <x:c r="G1033" s="1" t="n">
        <x:v>3</x:v>
      </x:c>
      <x:c r="H1033" s="2" t="n">
        <x:v>1100</x:v>
      </x:c>
      <x:c r="I1033" s="3" t="n">
        <x:v>0.1</x:v>
      </x:c>
      <x:c r="J1033" s="2" t="n">
        <x:v>650</x:v>
      </x:c>
      <x:c r="K1033" s="2" t="n">
        <x:v>120</x:v>
      </x:c>
      <x:c r="L1033" s="2" t="n">
        <x:f>G1033*H1033</x:f>
        <x:v>3300</x:v>
      </x:c>
      <x:c r="M1033" s="2" t="n">
        <x:f>ROUND(L1033*(1-I1033),2)</x:f>
        <x:v>2970</x:v>
      </x:c>
      <x:c r="N1033" s="2" t="n">
        <x:f>G1033*J1033</x:f>
        <x:v>1950</x:v>
      </x:c>
      <x:c r="O1033" s="2" t="n">
        <x:f>M1033-N1033-K1033</x:f>
        <x:v>900</x:v>
      </x:c>
      <x:c r="P1033" s="1" t="str">
        <x:f>TEXT(B1033,"yyyy-mm")</x:f>
        <x:v>2025-10</x:v>
      </x:c>
    </x:row>
    <x:row r="1034">
      <x:c r="A1034" s="1" t="str">
        <x:v>ORD-1030</x:v>
      </x:c>
      <x:c r="B1034" s="4" t="d">
        <x:v>2025-11-29T00:00:00.000Z</x:v>
      </x:c>
      <x:c r="C1034" s="1" t="str">
        <x:v>C-151</x:v>
      </x:c>
      <x:c r="D1034" s="1" t="str">
        <x:v>West</x:v>
      </x:c>
      <x:c r="E1034" s="1" t="str">
        <x:v>Home</x:v>
      </x:c>
      <x:c r="F1034" s="1" t="str">
        <x:v>Desk lamp</x:v>
      </x:c>
      <x:c r="G1034" s="1" t="n">
        <x:v>4</x:v>
      </x:c>
      <x:c r="H1034" s="2" t="n">
        <x:v>1100</x:v>
      </x:c>
      <x:c r="I1034" s="3" t="n">
        <x:v>0.05</x:v>
      </x:c>
      <x:c r="J1034" s="2" t="n">
        <x:v>650</x:v>
      </x:c>
      <x:c r="K1034" s="2" t="n">
        <x:v>120</x:v>
      </x:c>
      <x:c r="L1034" s="2" t="n">
        <x:f>G1034*H1034</x:f>
        <x:v>4400</x:v>
      </x:c>
      <x:c r="M1034" s="2" t="n">
        <x:f>ROUND(L1034*(1-I1034),2)</x:f>
        <x:v>4180</x:v>
      </x:c>
      <x:c r="N1034" s="2" t="n">
        <x:f>G1034*J1034</x:f>
        <x:v>2600</x:v>
      </x:c>
      <x:c r="O1034" s="2" t="n">
        <x:f>M1034-N1034-K1034</x:f>
        <x:v>1460</x:v>
      </x:c>
      <x:c r="P1034" s="1" t="str">
        <x:f>TEXT(B1034,"yyyy-mm")</x:f>
        <x:v>2025-11</x:v>
      </x:c>
    </x:row>
    <x:row r="1035">
      <x:c r="A1035" s="1" t="str">
        <x:v>ORD-1031</x:v>
      </x:c>
      <x:c r="B1035" s="4" t="d">
        <x:v>2025-10-26T00:00:00.000Z</x:v>
      </x:c>
      <x:c r="C1035" s="1" t="str">
        <x:v>C-083</x:v>
      </x:c>
      <x:c r="D1035" s="1" t="str">
        <x:v>South</x:v>
      </x:c>
      <x:c r="E1035" s="1" t="str">
        <x:v>Fashion</x:v>
      </x:c>
      <x:c r="F1035" s="1" t="str">
        <x:v>Backpack</x:v>
      </x:c>
      <x:c r="G1035" s="1" t="n">
        <x:v>3</x:v>
      </x:c>
      <x:c r="H1035" s="2" t="n">
        <x:v>1300</x:v>
      </x:c>
      <x:c r="I1035" s="3" t="n">
        <x:v>0.15</x:v>
      </x:c>
      <x:c r="J1035" s="2" t="n">
        <x:v>650</x:v>
      </x:c>
      <x:c r="K1035" s="2" t="n">
        <x:v>120</x:v>
      </x:c>
      <x:c r="L1035" s="2" t="n">
        <x:f>G1035*H1035</x:f>
        <x:v>3900</x:v>
      </x:c>
      <x:c r="M1035" s="2" t="n">
        <x:f>ROUND(L1035*(1-I1035),2)</x:f>
        <x:v>3315</x:v>
      </x:c>
      <x:c r="N1035" s="2" t="n">
        <x:f>G1035*J1035</x:f>
        <x:v>1950</x:v>
      </x:c>
      <x:c r="O1035" s="2" t="n">
        <x:f>M1035-N1035-K1035</x:f>
        <x:v>1245</x:v>
      </x:c>
      <x:c r="P1035" s="1" t="str">
        <x:f>TEXT(B1035,"yyyy-mm")</x:f>
        <x:v>2025-10</x:v>
      </x:c>
    </x:row>
    <x:row r="1036">
      <x:c r="A1036" s="1" t="str">
        <x:v>ORD-1032</x:v>
      </x:c>
      <x:c r="B1036" s="4" t="d">
        <x:v>2025-10-06T00:00:00.000Z</x:v>
      </x:c>
      <x:c r="C1036" s="1" t="str">
        <x:v>C-103</x:v>
      </x:c>
      <x:c r="D1036" s="1" t="str">
        <x:v>South</x:v>
      </x:c>
      <x:c r="E1036" s="1" t="str">
        <x:v>Home</x:v>
      </x:c>
      <x:c r="F1036" s="1" t="str">
        <x:v>Desk lamp</x:v>
      </x:c>
      <x:c r="G1036" s="1" t="n">
        <x:v>4</x:v>
      </x:c>
      <x:c r="H1036" s="2" t="n">
        <x:v>1100</x:v>
      </x:c>
      <x:c r="I1036" s="3" t="n">
        <x:v>0.05</x:v>
      </x:c>
      <x:c r="J1036" s="2" t="n">
        <x:v>650</x:v>
      </x:c>
      <x:c r="K1036" s="2" t="n">
        <x:v>50</x:v>
      </x:c>
      <x:c r="L1036" s="2" t="n">
        <x:f>G1036*H1036</x:f>
        <x:v>4400</x:v>
      </x:c>
      <x:c r="M1036" s="2" t="n">
        <x:f>ROUND(L1036*(1-I1036),2)</x:f>
        <x:v>4180</x:v>
      </x:c>
      <x:c r="N1036" s="2" t="n">
        <x:f>G1036*J1036</x:f>
        <x:v>2600</x:v>
      </x:c>
      <x:c r="O1036" s="2" t="n">
        <x:f>M1036-N1036-K1036</x:f>
        <x:v>1530</x:v>
      </x:c>
      <x:c r="P1036" s="1" t="str">
        <x:f>TEXT(B1036,"yyyy-mm")</x:f>
        <x:v>2025-10</x:v>
      </x:c>
    </x:row>
    <x:row r="1037">
      <x:c r="A1037" s="1" t="str">
        <x:v>ORD-1033</x:v>
      </x:c>
      <x:c r="B1037" s="4" t="d">
        <x:v>2025-11-08T00:00:00.000Z</x:v>
      </x:c>
      <x:c r="C1037" s="1" t="str">
        <x:v>C-108</x:v>
      </x:c>
      <x:c r="D1037" s="1" t="str">
        <x:v>North</x:v>
      </x:c>
      <x:c r="E1037" s="1" t="str">
        <x:v>Home</x:v>
      </x:c>
      <x:c r="F1037" s="1" t="str">
        <x:v>Desk lamp</x:v>
      </x:c>
      <x:c r="G1037" s="1" t="n">
        <x:v>1</x:v>
      </x:c>
      <x:c r="H1037" s="2" t="n">
        <x:v>1100</x:v>
      </x:c>
      <x:c r="I1037" s="3" t="n">
        <x:v>0.1</x:v>
      </x:c>
      <x:c r="J1037" s="2" t="n">
        <x:v>650</x:v>
      </x:c>
      <x:c r="K1037" s="2" t="n">
        <x:v>80</x:v>
      </x:c>
      <x:c r="L1037" s="2" t="n">
        <x:f>G1037*H1037</x:f>
        <x:v>1100</x:v>
      </x:c>
      <x:c r="M1037" s="2" t="n">
        <x:f>ROUND(L1037*(1-I1037),2)</x:f>
        <x:v>990</x:v>
      </x:c>
      <x:c r="N1037" s="2" t="n">
        <x:f>G1037*J1037</x:f>
        <x:v>650</x:v>
      </x:c>
      <x:c r="O1037" s="2" t="n">
        <x:f>M1037-N1037-K1037</x:f>
        <x:v>260</x:v>
      </x:c>
      <x:c r="P1037" s="1" t="str">
        <x:f>TEXT(B1037,"yyyy-mm")</x:f>
        <x:v>2025-11</x:v>
      </x:c>
    </x:row>
    <x:row r="1038">
      <x:c r="A1038" s="1" t="str">
        <x:v>ORD-1034</x:v>
      </x:c>
      <x:c r="B1038" s="4" t="d">
        <x:v>2025-11-06T00:00:00.000Z</x:v>
      </x:c>
      <x:c r="C1038" s="1" t="str">
        <x:v>C-090</x:v>
      </x:c>
      <x:c r="D1038" s="1" t="str">
        <x:v>North</x:v>
      </x:c>
      <x:c r="E1038" s="1" t="str">
        <x:v>Fashion</x:v>
      </x:c>
      <x:c r="F1038" s="1" t="str">
        <x:v>Backpack</x:v>
      </x:c>
      <x:c r="G1038" s="1" t="n">
        <x:v>1</x:v>
      </x:c>
      <x:c r="H1038" s="2" t="n">
        <x:v>1300</x:v>
      </x:c>
      <x:c r="I1038" s="3" t="n">
        <x:v>0.35</x:v>
      </x:c>
      <x:c r="J1038" s="2" t="n">
        <x:v>650</x:v>
      </x:c>
      <x:c r="K1038" s="2" t="n">
        <x:v>80</x:v>
      </x:c>
      <x:c r="L1038" s="2" t="n">
        <x:f>G1038*H1038</x:f>
        <x:v>1300</x:v>
      </x:c>
      <x:c r="M1038" s="2" t="n">
        <x:f>ROUND(L1038*(1-I1038),2)</x:f>
        <x:v>845</x:v>
      </x:c>
      <x:c r="N1038" s="2" t="n">
        <x:f>G1038*J1038</x:f>
        <x:v>650</x:v>
      </x:c>
      <x:c r="O1038" s="2" t="n">
        <x:f>M1038-N1038-K1038</x:f>
        <x:v>115</x:v>
      </x:c>
      <x:c r="P1038" s="1" t="str">
        <x:f>TEXT(B1038,"yyyy-mm")</x:f>
        <x:v>2025-11</x:v>
      </x:c>
    </x:row>
    <x:row r="1039">
      <x:c r="A1039" s="1" t="str">
        <x:v>ORD-1035</x:v>
      </x:c>
      <x:c r="B1039" s="4" t="d">
        <x:v>2025-07-18T00:00:00.000Z</x:v>
      </x:c>
      <x:c r="C1039" s="1" t="str">
        <x:v>C-115</x:v>
      </x:c>
      <x:c r="D1039" s="1" t="str">
        <x:v>West</x:v>
      </x:c>
      <x:c r="E1039" s="1" t="str">
        <x:v>Fashion</x:v>
      </x:c>
      <x:c r="F1039" s="1" t="str">
        <x:v>T-shirt</x:v>
      </x:c>
      <x:c r="G1039" s="1" t="n">
        <x:v>3</x:v>
      </x:c>
      <x:c r="H1039" s="2" t="n">
        <x:v>700</x:v>
      </x:c>
      <x:c r="I1039" s="3" t="n">
        <x:v>0</x:v>
      </x:c>
      <x:c r="J1039" s="2" t="n">
        <x:v>300</x:v>
      </x:c>
      <x:c r="K1039" s="2" t="n">
        <x:v>80</x:v>
      </x:c>
      <x:c r="L1039" s="2" t="n">
        <x:f>G1039*H1039</x:f>
        <x:v>2100</x:v>
      </x:c>
      <x:c r="M1039" s="2" t="n">
        <x:f>ROUND(L1039*(1-I1039),2)</x:f>
        <x:v>2100</x:v>
      </x:c>
      <x:c r="N1039" s="2" t="n">
        <x:f>G1039*J1039</x:f>
        <x:v>900</x:v>
      </x:c>
      <x:c r="O1039" s="2" t="n">
        <x:f>M1039-N1039-K1039</x:f>
        <x:v>1120</x:v>
      </x:c>
      <x:c r="P1039" s="1" t="str">
        <x:f>TEXT(B1039,"yyyy-mm")</x:f>
        <x:v>2025-07</x:v>
      </x:c>
    </x:row>
    <x:row r="1040">
      <x:c r="A1040" s="1" t="str">
        <x:v>ORD-1036</x:v>
      </x:c>
      <x:c r="B1040" s="4" t="d">
        <x:v>2025-11-09T00:00:00.000Z</x:v>
      </x:c>
      <x:c r="C1040" s="1" t="str">
        <x:v>C-078</x:v>
      </x:c>
      <x:c r="D1040" s="1" t="str">
        <x:v>North</x:v>
      </x:c>
      <x:c r="E1040" s="1" t="str">
        <x:v>Electronics</x:v>
      </x:c>
      <x:c r="F1040" s="1" t="str">
        <x:v>Headphones</x:v>
      </x:c>
      <x:c r="G1040" s="1" t="n">
        <x:v>1</x:v>
      </x:c>
      <x:c r="H1040" s="2" t="n">
        <x:v>2200</x:v>
      </x:c>
      <x:c r="I1040" s="3" t="n">
        <x:v>0.25</x:v>
      </x:c>
      <x:c r="J1040" s="2" t="n">
        <x:v>1450</x:v>
      </x:c>
      <x:c r="K1040" s="2" t="n">
        <x:v>80</x:v>
      </x:c>
      <x:c r="L1040" s="2" t="n">
        <x:f>G1040*H1040</x:f>
        <x:v>2200</x:v>
      </x:c>
      <x:c r="M1040" s="2" t="n">
        <x:f>ROUND(L1040*(1-I1040),2)</x:f>
        <x:v>1650</x:v>
      </x:c>
      <x:c r="N1040" s="2" t="n">
        <x:f>G1040*J1040</x:f>
        <x:v>1450</x:v>
      </x:c>
      <x:c r="O1040" s="2" t="n">
        <x:f>M1040-N1040-K1040</x:f>
        <x:v>120</x:v>
      </x:c>
      <x:c r="P1040" s="1" t="str">
        <x:f>TEXT(B1040,"yyyy-mm")</x:f>
        <x:v>2025-11</x:v>
      </x:c>
    </x:row>
    <x:row r="1041">
      <x:c r="A1041" s="1" t="str">
        <x:v>ORD-1037</x:v>
      </x:c>
      <x:c r="B1041" s="4" t="d">
        <x:v>2025-11-26T00:00:00.000Z</x:v>
      </x:c>
      <x:c r="C1041" s="1" t="str">
        <x:v>C-053</x:v>
      </x:c>
      <x:c r="D1041" s="1" t="str">
        <x:v>North</x:v>
      </x:c>
      <x:c r="E1041" s="1" t="str">
        <x:v>Electronics</x:v>
      </x:c>
      <x:c r="F1041" s="1" t="str">
        <x:v>Keyboard</x:v>
      </x:c>
      <x:c r="G1041" s="1" t="n">
        <x:v>1</x:v>
      </x:c>
      <x:c r="H1041" s="2" t="n">
        <x:v>1500</x:v>
      </x:c>
      <x:c r="I1041" s="3" t="n">
        <x:v>0</x:v>
      </x:c>
      <x:c r="J1041" s="2" t="n">
        <x:v>900</x:v>
      </x:c>
      <x:c r="K1041" s="2" t="n">
        <x:v>50</x:v>
      </x:c>
      <x:c r="L1041" s="2" t="n">
        <x:f>G1041*H1041</x:f>
        <x:v>1500</x:v>
      </x:c>
      <x:c r="M1041" s="2" t="n">
        <x:f>ROUND(L1041*(1-I1041),2)</x:f>
        <x:v>1500</x:v>
      </x:c>
      <x:c r="N1041" s="2" t="n">
        <x:f>G1041*J1041</x:f>
        <x:v>900</x:v>
      </x:c>
      <x:c r="O1041" s="2" t="n">
        <x:f>M1041-N1041-K1041</x:f>
        <x:v>550</x:v>
      </x:c>
      <x:c r="P1041" s="1" t="str">
        <x:f>TEXT(B1041,"yyyy-mm")</x:f>
        <x:v>2025-11</x:v>
      </x:c>
    </x:row>
    <x:row r="1042">
      <x:c r="A1042" s="1" t="str">
        <x:v>ORD-1038</x:v>
      </x:c>
      <x:c r="B1042" s="4" t="d">
        <x:v>2025-09-06T00:00:00.000Z</x:v>
      </x:c>
      <x:c r="C1042" s="1" t="str">
        <x:v>C-150</x:v>
      </x:c>
      <x:c r="D1042" s="1" t="str">
        <x:v>West</x:v>
      </x:c>
      <x:c r="E1042" s="1" t="str">
        <x:v>Fashion</x:v>
      </x:c>
      <x:c r="F1042" s="1" t="str">
        <x:v>T-shirt</x:v>
      </x:c>
      <x:c r="G1042" s="1" t="n">
        <x:v>4</x:v>
      </x:c>
      <x:c r="H1042" s="2" t="n">
        <x:v>700</x:v>
      </x:c>
      <x:c r="I1042" s="3" t="n">
        <x:v>0.1</x:v>
      </x:c>
      <x:c r="J1042" s="2" t="n">
        <x:v>300</x:v>
      </x:c>
      <x:c r="K1042" s="2" t="n">
        <x:v>120</x:v>
      </x:c>
      <x:c r="L1042" s="2" t="n">
        <x:f>G1042*H1042</x:f>
        <x:v>2800</x:v>
      </x:c>
      <x:c r="M1042" s="2" t="n">
        <x:f>ROUND(L1042*(1-I1042),2)</x:f>
        <x:v>2520</x:v>
      </x:c>
      <x:c r="N1042" s="2" t="n">
        <x:f>G1042*J1042</x:f>
        <x:v>1200</x:v>
      </x:c>
      <x:c r="O1042" s="2" t="n">
        <x:f>M1042-N1042-K1042</x:f>
        <x:v>1200</x:v>
      </x:c>
      <x:c r="P1042" s="1" t="str">
        <x:f>TEXT(B1042,"yyyy-mm")</x:f>
        <x:v>2025-09</x:v>
      </x:c>
    </x:row>
    <x:row r="1043">
      <x:c r="A1043" s="1" t="str">
        <x:v>ORD-1039</x:v>
      </x:c>
      <x:c r="B1043" s="4" t="d">
        <x:v>2025-11-12T00:00:00.000Z</x:v>
      </x:c>
      <x:c r="C1043" s="1" t="str">
        <x:v>C-172</x:v>
      </x:c>
      <x:c r="D1043" s="1" t="str">
        <x:v>South</x:v>
      </x:c>
      <x:c r="E1043" s="1" t="str">
        <x:v>Electronics</x:v>
      </x:c>
      <x:c r="F1043" s="1" t="str">
        <x:v>Smartwatch</x:v>
      </x:c>
      <x:c r="G1043" s="1" t="n">
        <x:v>1</x:v>
      </x:c>
      <x:c r="H1043" s="2" t="n">
        <x:v>4200</x:v>
      </x:c>
      <x:c r="I1043" s="3" t="n">
        <x:v>0.35</x:v>
      </x:c>
      <x:c r="J1043" s="2" t="n">
        <x:v>3000</x:v>
      </x:c>
      <x:c r="K1043" s="2" t="n">
        <x:v>50</x:v>
      </x:c>
      <x:c r="L1043" s="2" t="n">
        <x:f>G1043*H1043</x:f>
        <x:v>4200</x:v>
      </x:c>
      <x:c r="M1043" s="2" t="n">
        <x:f>ROUND(L1043*(1-I1043),2)</x:f>
        <x:v>2730</x:v>
      </x:c>
      <x:c r="N1043" s="2" t="n">
        <x:f>G1043*J1043</x:f>
        <x:v>3000</x:v>
      </x:c>
      <x:c r="O1043" s="2" t="n">
        <x:f>M1043-N1043-K1043</x:f>
        <x:v>-320</x:v>
      </x:c>
      <x:c r="P1043" s="1" t="str">
        <x:f>TEXT(B1043,"yyyy-mm")</x:f>
        <x:v>2025-11</x:v>
      </x:c>
    </x:row>
    <x:row r="1044">
      <x:c r="A1044" s="1" t="str">
        <x:v>ORD-1040</x:v>
      </x:c>
      <x:c r="B1044" s="4" t="d">
        <x:v>2025-07-08T00:00:00.000Z</x:v>
      </x:c>
      <x:c r="C1044" s="1" t="str">
        <x:v>C-243</x:v>
      </x:c>
      <x:c r="D1044" s="1" t="str">
        <x:v>East</x:v>
      </x:c>
      <x:c r="E1044" s="1" t="str">
        <x:v>Home</x:v>
      </x:c>
      <x:c r="F1044" s="1" t="str">
        <x:v>Office chair</x:v>
      </x:c>
      <x:c r="G1044" s="1" t="n">
        <x:v>3</x:v>
      </x:c>
      <x:c r="H1044" s="2" t="n">
        <x:v>5500</x:v>
      </x:c>
      <x:c r="I1044" s="3" t="n">
        <x:v>0</x:v>
      </x:c>
      <x:c r="J1044" s="2" t="n">
        <x:v>4400</x:v>
      </x:c>
      <x:c r="K1044" s="2" t="n">
        <x:v>120</x:v>
      </x:c>
      <x:c r="L1044" s="2" t="n">
        <x:f>G1044*H1044</x:f>
        <x:v>16500</x:v>
      </x:c>
      <x:c r="M1044" s="2" t="n">
        <x:f>ROUND(L1044*(1-I1044),2)</x:f>
        <x:v>16500</x:v>
      </x:c>
      <x:c r="N1044" s="2" t="n">
        <x:f>G1044*J1044</x:f>
        <x:v>13200</x:v>
      </x:c>
      <x:c r="O1044" s="2" t="n">
        <x:f>M1044-N1044-K1044</x:f>
        <x:v>3180</x:v>
      </x:c>
      <x:c r="P1044" s="1" t="str">
        <x:f>TEXT(B1044,"yyyy-mm")</x:f>
        <x:v>2025-07</x:v>
      </x:c>
    </x:row>
    <x:row r="1045">
      <x:c r="A1045" s="1" t="str">
        <x:v>ORD-1041</x:v>
      </x:c>
      <x:c r="B1045" s="4" t="d">
        <x:v>2025-03-23T00:00:00.000Z</x:v>
      </x:c>
      <x:c r="C1045" s="1" t="str">
        <x:v>C-213</x:v>
      </x:c>
      <x:c r="D1045" s="1" t="str">
        <x:v>East</x:v>
      </x:c>
      <x:c r="E1045" s="1" t="str">
        <x:v>Fashion</x:v>
      </x:c>
      <x:c r="F1045" s="1" t="str">
        <x:v>Sneakers</x:v>
      </x:c>
      <x:c r="G1045" s="1" t="n">
        <x:v>2</x:v>
      </x:c>
      <x:c r="H1045" s="2" t="n">
        <x:v>2400</x:v>
      </x:c>
      <x:c r="I1045" s="3" t="n">
        <x:v>0.1</x:v>
      </x:c>
      <x:c r="J1045" s="2" t="n">
        <x:v>1200</x:v>
      </x:c>
      <x:c r="K1045" s="2" t="n">
        <x:v>50</x:v>
      </x:c>
      <x:c r="L1045" s="2" t="n">
        <x:f>G1045*H1045</x:f>
        <x:v>4800</x:v>
      </x:c>
      <x:c r="M1045" s="2" t="n">
        <x:f>ROUND(L1045*(1-I1045),2)</x:f>
        <x:v>4320</x:v>
      </x:c>
      <x:c r="N1045" s="2" t="n">
        <x:f>G1045*J1045</x:f>
        <x:v>2400</x:v>
      </x:c>
      <x:c r="O1045" s="2" t="n">
        <x:f>M1045-N1045-K1045</x:f>
        <x:v>1870</x:v>
      </x:c>
      <x:c r="P1045" s="1" t="str">
        <x:f>TEXT(B1045,"yyyy-mm")</x:f>
        <x:v>2025-03</x:v>
      </x:c>
    </x:row>
    <x:row r="1046">
      <x:c r="A1046" s="1" t="str">
        <x:v>ORD-1042</x:v>
      </x:c>
      <x:c r="B1046" s="4" t="d">
        <x:v>2025-10-26T00:00:00.000Z</x:v>
      </x:c>
      <x:c r="C1046" s="1" t="str">
        <x:v>C-117</x:v>
      </x:c>
      <x:c r="D1046" s="1" t="str">
        <x:v>South</x:v>
      </x:c>
      <x:c r="E1046" s="1" t="str">
        <x:v>Home</x:v>
      </x:c>
      <x:c r="F1046" s="1" t="str">
        <x:v>Storage box</x:v>
      </x:c>
      <x:c r="G1046" s="1" t="n">
        <x:v>4</x:v>
      </x:c>
      <x:c r="H1046" s="2" t="n">
        <x:v>800</x:v>
      </x:c>
      <x:c r="I1046" s="3" t="n">
        <x:v>0.15</x:v>
      </x:c>
      <x:c r="J1046" s="2" t="n">
        <x:v>420</x:v>
      </x:c>
      <x:c r="K1046" s="2" t="n">
        <x:v>80</x:v>
      </x:c>
      <x:c r="L1046" s="2" t="n">
        <x:f>G1046*H1046</x:f>
        <x:v>3200</x:v>
      </x:c>
      <x:c r="M1046" s="2" t="n">
        <x:f>ROUND(L1046*(1-I1046),2)</x:f>
        <x:v>2720</x:v>
      </x:c>
      <x:c r="N1046" s="2" t="n">
        <x:f>G1046*J1046</x:f>
        <x:v>1680</x:v>
      </x:c>
      <x:c r="O1046" s="2" t="n">
        <x:f>M1046-N1046-K1046</x:f>
        <x:v>960</x:v>
      </x:c>
      <x:c r="P1046" s="1" t="str">
        <x:f>TEXT(B1046,"yyyy-mm")</x:f>
        <x:v>2025-10</x:v>
      </x:c>
    </x:row>
    <x:row r="1047">
      <x:c r="A1047" s="1" t="str">
        <x:v>ORD-1043</x:v>
      </x:c>
      <x:c r="B1047" s="4" t="d">
        <x:v>2025-12-26T00:00:00.000Z</x:v>
      </x:c>
      <x:c r="C1047" s="1" t="str">
        <x:v>C-186</x:v>
      </x:c>
      <x:c r="D1047" s="1" t="str">
        <x:v>North</x:v>
      </x:c>
      <x:c r="E1047" s="1" t="str">
        <x:v>Home</x:v>
      </x:c>
      <x:c r="F1047" s="1" t="str">
        <x:v>Desk lamp</x:v>
      </x:c>
      <x:c r="G1047" s="1" t="n">
        <x:v>4</x:v>
      </x:c>
      <x:c r="H1047" s="2" t="n">
        <x:v>1100</x:v>
      </x:c>
      <x:c r="I1047" s="3" t="n">
        <x:v>0.25</x:v>
      </x:c>
      <x:c r="J1047" s="2" t="n">
        <x:v>650</x:v>
      </x:c>
      <x:c r="K1047" s="2" t="n">
        <x:v>50</x:v>
      </x:c>
      <x:c r="L1047" s="2" t="n">
        <x:f>G1047*H1047</x:f>
        <x:v>4400</x:v>
      </x:c>
      <x:c r="M1047" s="2" t="n">
        <x:f>ROUND(L1047*(1-I1047),2)</x:f>
        <x:v>3300</x:v>
      </x:c>
      <x:c r="N1047" s="2" t="n">
        <x:f>G1047*J1047</x:f>
        <x:v>2600</x:v>
      </x:c>
      <x:c r="O1047" s="2" t="n">
        <x:f>M1047-N1047-K1047</x:f>
        <x:v>650</x:v>
      </x:c>
      <x:c r="P1047" s="1" t="str">
        <x:f>TEXT(B1047,"yyyy-mm")</x:f>
        <x:v>2025-12</x:v>
      </x:c>
    </x:row>
    <x:row r="1048">
      <x:c r="A1048" s="1" t="str">
        <x:v>ORD-1044</x:v>
      </x:c>
      <x:c r="B1048" s="4" t="d">
        <x:v>2025-11-03T00:00:00.000Z</x:v>
      </x:c>
      <x:c r="C1048" s="1" t="str">
        <x:v>C-174</x:v>
      </x:c>
      <x:c r="D1048" s="1" t="str">
        <x:v>East</x:v>
      </x:c>
      <x:c r="E1048" s="1" t="str">
        <x:v>Home</x:v>
      </x:c>
      <x:c r="F1048" s="1" t="str">
        <x:v>Storage box</x:v>
      </x:c>
      <x:c r="G1048" s="1" t="n">
        <x:v>4</x:v>
      </x:c>
      <x:c r="H1048" s="2" t="n">
        <x:v>800</x:v>
      </x:c>
      <x:c r="I1048" s="3" t="n">
        <x:v>0</x:v>
      </x:c>
      <x:c r="J1048" s="2" t="n">
        <x:v>420</x:v>
      </x:c>
      <x:c r="K1048" s="2" t="n">
        <x:v>50</x:v>
      </x:c>
      <x:c r="L1048" s="2" t="n">
        <x:f>G1048*H1048</x:f>
        <x:v>3200</x:v>
      </x:c>
      <x:c r="M1048" s="2" t="n">
        <x:f>ROUND(L1048*(1-I1048),2)</x:f>
        <x:v>3200</x:v>
      </x:c>
      <x:c r="N1048" s="2" t="n">
        <x:f>G1048*J1048</x:f>
        <x:v>1680</x:v>
      </x:c>
      <x:c r="O1048" s="2" t="n">
        <x:f>M1048-N1048-K1048</x:f>
        <x:v>1470</x:v>
      </x:c>
      <x:c r="P1048" s="1" t="str">
        <x:f>TEXT(B1048,"yyyy-mm")</x:f>
        <x:v>2025-11</x:v>
      </x:c>
    </x:row>
    <x:row r="1049">
      <x:c r="A1049" s="1" t="str">
        <x:v>ORD-1045</x:v>
      </x:c>
      <x:c r="B1049" s="4" t="d">
        <x:v>2025-07-22T00:00:00.000Z</x:v>
      </x:c>
      <x:c r="C1049" s="1" t="str">
        <x:v>C-078</x:v>
      </x:c>
      <x:c r="D1049" s="1" t="str">
        <x:v>North</x:v>
      </x:c>
      <x:c r="E1049" s="1" t="str">
        <x:v>Home</x:v>
      </x:c>
      <x:c r="F1049" s="1" t="str">
        <x:v>Office chair</x:v>
      </x:c>
      <x:c r="G1049" s="1" t="n">
        <x:v>3</x:v>
      </x:c>
      <x:c r="H1049" s="2" t="n">
        <x:v>5500</x:v>
      </x:c>
      <x:c r="I1049" s="3" t="n">
        <x:v>0</x:v>
      </x:c>
      <x:c r="J1049" s="2" t="n">
        <x:v>4400</x:v>
      </x:c>
      <x:c r="K1049" s="2" t="n">
        <x:v>80</x:v>
      </x:c>
      <x:c r="L1049" s="2" t="n">
        <x:f>G1049*H1049</x:f>
        <x:v>16500</x:v>
      </x:c>
      <x:c r="M1049" s="2" t="n">
        <x:f>ROUND(L1049*(1-I1049),2)</x:f>
        <x:v>16500</x:v>
      </x:c>
      <x:c r="N1049" s="2" t="n">
        <x:f>G1049*J1049</x:f>
        <x:v>13200</x:v>
      </x:c>
      <x:c r="O1049" s="2" t="n">
        <x:f>M1049-N1049-K1049</x:f>
        <x:v>3220</x:v>
      </x:c>
      <x:c r="P1049" s="1" t="str">
        <x:f>TEXT(B1049,"yyyy-mm")</x:f>
        <x:v>2025-07</x:v>
      </x:c>
    </x:row>
    <x:row r="1050">
      <x:c r="A1050" s="1" t="str">
        <x:v>ORD-1046</x:v>
      </x:c>
      <x:c r="B1050" s="4" t="d">
        <x:v>2025-06-24T00:00:00.000Z</x:v>
      </x:c>
      <x:c r="C1050" s="1" t="str">
        <x:v>C-161</x:v>
      </x:c>
      <x:c r="D1050" s="1" t="str">
        <x:v>East</x:v>
      </x:c>
      <x:c r="E1050" s="1" t="str">
        <x:v>Home</x:v>
      </x:c>
      <x:c r="F1050" s="1" t="str">
        <x:v>Storage box</x:v>
      </x:c>
      <x:c r="G1050" s="1" t="n">
        <x:v>1</x:v>
      </x:c>
      <x:c r="H1050" s="2" t="n">
        <x:v>800</x:v>
      </x:c>
      <x:c r="I1050" s="3" t="n">
        <x:v>0.1</x:v>
      </x:c>
      <x:c r="J1050" s="2" t="n">
        <x:v>420</x:v>
      </x:c>
      <x:c r="K1050" s="2" t="n">
        <x:v>80</x:v>
      </x:c>
      <x:c r="L1050" s="2" t="n">
        <x:f>G1050*H1050</x:f>
        <x:v>800</x:v>
      </x:c>
      <x:c r="M1050" s="2" t="n">
        <x:f>ROUND(L1050*(1-I1050),2)</x:f>
        <x:v>720</x:v>
      </x:c>
      <x:c r="N1050" s="2" t="n">
        <x:f>G1050*J1050</x:f>
        <x:v>420</x:v>
      </x:c>
      <x:c r="O1050" s="2" t="n">
        <x:f>M1050-N1050-K1050</x:f>
        <x:v>220</x:v>
      </x:c>
      <x:c r="P1050" s="1" t="str">
        <x:f>TEXT(B1050,"yyyy-mm")</x:f>
        <x:v>2025-06</x:v>
      </x:c>
    </x:row>
    <x:row r="1051">
      <x:c r="A1051" s="1" t="str">
        <x:v>ORD-1047</x:v>
      </x:c>
      <x:c r="B1051" s="4" t="d">
        <x:v>2025-12-13T00:00:00.000Z</x:v>
      </x:c>
      <x:c r="C1051" s="1" t="str">
        <x:v>C-229</x:v>
      </x:c>
      <x:c r="D1051" s="1" t="str">
        <x:v>South</x:v>
      </x:c>
      <x:c r="E1051" s="1" t="str">
        <x:v>Electronics</x:v>
      </x:c>
      <x:c r="F1051" s="1" t="str">
        <x:v>Smartwatch</x:v>
      </x:c>
      <x:c r="G1051" s="1" t="n">
        <x:v>4</x:v>
      </x:c>
      <x:c r="H1051" s="2" t="n">
        <x:v>4200</x:v>
      </x:c>
      <x:c r="I1051" s="3" t="n">
        <x:v>0.35</x:v>
      </x:c>
      <x:c r="J1051" s="2" t="n">
        <x:v>3000</x:v>
      </x:c>
      <x:c r="K1051" s="2" t="n">
        <x:v>120</x:v>
      </x:c>
      <x:c r="L1051" s="2" t="n">
        <x:f>G1051*H1051</x:f>
        <x:v>16800</x:v>
      </x:c>
      <x:c r="M1051" s="2" t="n">
        <x:f>ROUND(L1051*(1-I1051),2)</x:f>
        <x:v>10920</x:v>
      </x:c>
      <x:c r="N1051" s="2" t="n">
        <x:f>G1051*J1051</x:f>
        <x:v>12000</x:v>
      </x:c>
      <x:c r="O1051" s="2" t="n">
        <x:f>M1051-N1051-K1051</x:f>
        <x:v>-1200</x:v>
      </x:c>
      <x:c r="P1051" s="1" t="str">
        <x:f>TEXT(B1051,"yyyy-mm")</x:f>
        <x:v>2025-12</x:v>
      </x:c>
    </x:row>
    <x:row r="1052">
      <x:c r="A1052" s="1" t="str">
        <x:v>ORD-1048</x:v>
      </x:c>
      <x:c r="B1052" s="4" t="d">
        <x:v>2025-06-29T00:00:00.000Z</x:v>
      </x:c>
      <x:c r="C1052" s="1" t="str">
        <x:v>C-155</x:v>
      </x:c>
      <x:c r="D1052" s="1" t="str">
        <x:v>North</x:v>
      </x:c>
      <x:c r="E1052" s="1" t="str">
        <x:v>Home</x:v>
      </x:c>
      <x:c r="F1052" s="1" t="str">
        <x:v>Office chair</x:v>
      </x:c>
      <x:c r="G1052" s="1" t="n">
        <x:v>1</x:v>
      </x:c>
      <x:c r="H1052" s="2" t="n">
        <x:v>5500</x:v>
      </x:c>
      <x:c r="I1052" s="3" t="n">
        <x:v>0.05</x:v>
      </x:c>
      <x:c r="J1052" s="2" t="n">
        <x:v>4400</x:v>
      </x:c>
      <x:c r="K1052" s="2" t="n">
        <x:v>120</x:v>
      </x:c>
      <x:c r="L1052" s="2" t="n">
        <x:f>G1052*H1052</x:f>
        <x:v>5500</x:v>
      </x:c>
      <x:c r="M1052" s="2" t="n">
        <x:f>ROUND(L1052*(1-I1052),2)</x:f>
        <x:v>5225</x:v>
      </x:c>
      <x:c r="N1052" s="2" t="n">
        <x:f>G1052*J1052</x:f>
        <x:v>4400</x:v>
      </x:c>
      <x:c r="O1052" s="2" t="n">
        <x:f>M1052-N1052-K1052</x:f>
        <x:v>705</x:v>
      </x:c>
      <x:c r="P1052" s="1" t="str">
        <x:f>TEXT(B1052,"yyyy-mm")</x:f>
        <x:v>2025-06</x:v>
      </x:c>
    </x:row>
    <x:row r="1053">
      <x:c r="A1053" s="1" t="str">
        <x:v>ORD-1049</x:v>
      </x:c>
      <x:c r="B1053" s="4" t="d">
        <x:v>2025-05-18T00:00:00.000Z</x:v>
      </x:c>
      <x:c r="C1053" s="1" t="str">
        <x:v>C-146</x:v>
      </x:c>
      <x:c r="D1053" s="1" t="str">
        <x:v>South</x:v>
      </x:c>
      <x:c r="E1053" s="1" t="str">
        <x:v>Electronics</x:v>
      </x:c>
      <x:c r="F1053" s="1" t="str">
        <x:v>Smartwatch</x:v>
      </x:c>
      <x:c r="G1053" s="1" t="n">
        <x:v>1</x:v>
      </x:c>
      <x:c r="H1053" s="2" t="n">
        <x:v>4200</x:v>
      </x:c>
      <x:c r="I1053" s="3" t="n">
        <x:v>0.25</x:v>
      </x:c>
      <x:c r="J1053" s="2" t="n">
        <x:v>3000</x:v>
      </x:c>
      <x:c r="K1053" s="2" t="n">
        <x:v>120</x:v>
      </x:c>
      <x:c r="L1053" s="2" t="n">
        <x:f>G1053*H1053</x:f>
        <x:v>4200</x:v>
      </x:c>
      <x:c r="M1053" s="2" t="n">
        <x:f>ROUND(L1053*(1-I1053),2)</x:f>
        <x:v>3150</x:v>
      </x:c>
      <x:c r="N1053" s="2" t="n">
        <x:f>G1053*J1053</x:f>
        <x:v>3000</x:v>
      </x:c>
      <x:c r="O1053" s="2" t="n">
        <x:f>M1053-N1053-K1053</x:f>
        <x:v>30</x:v>
      </x:c>
      <x:c r="P1053" s="1" t="str">
        <x:f>TEXT(B1053,"yyyy-mm")</x:f>
        <x:v>2025-05</x:v>
      </x:c>
    </x:row>
    <x:row r="1054">
      <x:c r="A1054" s="1" t="str">
        <x:v>ORD-1050</x:v>
      </x:c>
      <x:c r="B1054" s="4" t="d">
        <x:v>2025-08-25T00:00:00.000Z</x:v>
      </x:c>
      <x:c r="C1054" s="1" t="str">
        <x:v>C-082</x:v>
      </x:c>
      <x:c r="D1054" s="1" t="str">
        <x:v>North</x:v>
      </x:c>
      <x:c r="E1054" s="1" t="str">
        <x:v>Home</x:v>
      </x:c>
      <x:c r="F1054" s="1" t="str">
        <x:v>Storage box</x:v>
      </x:c>
      <x:c r="G1054" s="1" t="n">
        <x:v>1</x:v>
      </x:c>
      <x:c r="H1054" s="2" t="n">
        <x:v>800</x:v>
      </x:c>
      <x:c r="I1054" s="3" t="n">
        <x:v>0.1</x:v>
      </x:c>
      <x:c r="J1054" s="2" t="n">
        <x:v>420</x:v>
      </x:c>
      <x:c r="K1054" s="2" t="n">
        <x:v>120</x:v>
      </x:c>
      <x:c r="L1054" s="2" t="n">
        <x:f>G1054*H1054</x:f>
        <x:v>800</x:v>
      </x:c>
      <x:c r="M1054" s="2" t="n">
        <x:f>ROUND(L1054*(1-I1054),2)</x:f>
        <x:v>720</x:v>
      </x:c>
      <x:c r="N1054" s="2" t="n">
        <x:f>G1054*J1054</x:f>
        <x:v>420</x:v>
      </x:c>
      <x:c r="O1054" s="2" t="n">
        <x:f>M1054-N1054-K1054</x:f>
        <x:v>180</x:v>
      </x:c>
      <x:c r="P1054" s="1" t="str">
        <x:f>TEXT(B1054,"yyyy-mm")</x:f>
        <x:v>2025-08</x:v>
      </x:c>
    </x:row>
    <x:row r="1055">
      <x:c r="A1055" s="1" t="str">
        <x:v>ORD-1051</x:v>
      </x:c>
      <x:c r="B1055" s="4" t="d">
        <x:v>2025-09-24T00:00:00.000Z</x:v>
      </x:c>
      <x:c r="C1055" s="1" t="str">
        <x:v>C-217</x:v>
      </x:c>
      <x:c r="D1055" s="1" t="str">
        <x:v>North</x:v>
      </x:c>
      <x:c r="E1055" s="1" t="str">
        <x:v>Fashion</x:v>
      </x:c>
      <x:c r="F1055" s="1" t="str">
        <x:v>T-shirt</x:v>
      </x:c>
      <x:c r="G1055" s="1" t="n">
        <x:v>1</x:v>
      </x:c>
      <x:c r="H1055" s="2" t="n">
        <x:v>700</x:v>
      </x:c>
      <x:c r="I1055" s="3" t="n">
        <x:v>0.1</x:v>
      </x:c>
      <x:c r="J1055" s="2" t="n">
        <x:v>300</x:v>
      </x:c>
      <x:c r="K1055" s="2" t="n">
        <x:v>80</x:v>
      </x:c>
      <x:c r="L1055" s="2" t="n">
        <x:f>G1055*H1055</x:f>
        <x:v>700</x:v>
      </x:c>
      <x:c r="M1055" s="2" t="n">
        <x:f>ROUND(L1055*(1-I1055),2)</x:f>
        <x:v>630</x:v>
      </x:c>
      <x:c r="N1055" s="2" t="n">
        <x:f>G1055*J1055</x:f>
        <x:v>300</x:v>
      </x:c>
      <x:c r="O1055" s="2" t="n">
        <x:f>M1055-N1055-K1055</x:f>
        <x:v>250</x:v>
      </x:c>
      <x:c r="P1055" s="1" t="str">
        <x:f>TEXT(B1055,"yyyy-mm")</x:f>
        <x:v>2025-09</x:v>
      </x:c>
    </x:row>
    <x:row r="1056">
      <x:c r="A1056" s="1" t="str">
        <x:v>ORD-1052</x:v>
      </x:c>
      <x:c r="B1056" s="4" t="d">
        <x:v>2025-04-04T00:00:00.000Z</x:v>
      </x:c>
      <x:c r="C1056" s="1" t="str">
        <x:v>C-025</x:v>
      </x:c>
      <x:c r="D1056" s="1" t="str">
        <x:v>North</x:v>
      </x:c>
      <x:c r="E1056" s="1" t="str">
        <x:v>Home</x:v>
      </x:c>
      <x:c r="F1056" s="1" t="str">
        <x:v>Storage box</x:v>
      </x:c>
      <x:c r="G1056" s="1" t="n">
        <x:v>4</x:v>
      </x:c>
      <x:c r="H1056" s="2" t="n">
        <x:v>800</x:v>
      </x:c>
      <x:c r="I1056" s="3" t="n">
        <x:v>0.1</x:v>
      </x:c>
      <x:c r="J1056" s="2" t="n">
        <x:v>420</x:v>
      </x:c>
      <x:c r="K1056" s="2" t="n">
        <x:v>80</x:v>
      </x:c>
      <x:c r="L1056" s="2" t="n">
        <x:f>G1056*H1056</x:f>
        <x:v>3200</x:v>
      </x:c>
      <x:c r="M1056" s="2" t="n">
        <x:f>ROUND(L1056*(1-I1056),2)</x:f>
        <x:v>2880</x:v>
      </x:c>
      <x:c r="N1056" s="2" t="n">
        <x:f>G1056*J1056</x:f>
        <x:v>1680</x:v>
      </x:c>
      <x:c r="O1056" s="2" t="n">
        <x:f>M1056-N1056-K1056</x:f>
        <x:v>1120</x:v>
      </x:c>
      <x:c r="P1056" s="1" t="str">
        <x:f>TEXT(B1056,"yyyy-mm")</x:f>
        <x:v>2025-04</x:v>
      </x:c>
    </x:row>
    <x:row r="1057">
      <x:c r="A1057" s="1" t="str">
        <x:v>ORD-1053</x:v>
      </x:c>
      <x:c r="B1057" s="4" t="d">
        <x:v>2025-09-11T00:00:00.000Z</x:v>
      </x:c>
      <x:c r="C1057" s="1" t="str">
        <x:v>C-121</x:v>
      </x:c>
      <x:c r="D1057" s="1" t="str">
        <x:v>South</x:v>
      </x:c>
      <x:c r="E1057" s="1" t="str">
        <x:v>Electronics</x:v>
      </x:c>
      <x:c r="F1057" s="1" t="str">
        <x:v>Headphones</x:v>
      </x:c>
      <x:c r="G1057" s="1" t="n">
        <x:v>3</x:v>
      </x:c>
      <x:c r="H1057" s="2" t="n">
        <x:v>2200</x:v>
      </x:c>
      <x:c r="I1057" s="3" t="n">
        <x:v>0.15</x:v>
      </x:c>
      <x:c r="J1057" s="2" t="n">
        <x:v>1450</x:v>
      </x:c>
      <x:c r="K1057" s="2" t="n">
        <x:v>80</x:v>
      </x:c>
      <x:c r="L1057" s="2" t="n">
        <x:f>G1057*H1057</x:f>
        <x:v>6600</x:v>
      </x:c>
      <x:c r="M1057" s="2" t="n">
        <x:f>ROUND(L1057*(1-I1057),2)</x:f>
        <x:v>5610</x:v>
      </x:c>
      <x:c r="N1057" s="2" t="n">
        <x:f>G1057*J1057</x:f>
        <x:v>4350</x:v>
      </x:c>
      <x:c r="O1057" s="2" t="n">
        <x:f>M1057-N1057-K1057</x:f>
        <x:v>1180</x:v>
      </x:c>
      <x:c r="P1057" s="1" t="str">
        <x:f>TEXT(B1057,"yyyy-mm")</x:f>
        <x:v>2025-09</x:v>
      </x:c>
    </x:row>
    <x:row r="1058">
      <x:c r="A1058" s="1" t="str">
        <x:v>ORD-1054</x:v>
      </x:c>
      <x:c r="B1058" s="4" t="d">
        <x:v>2025-05-13T00:00:00.000Z</x:v>
      </x:c>
      <x:c r="C1058" s="1" t="str">
        <x:v>C-267</x:v>
      </x:c>
      <x:c r="D1058" s="1" t="str">
        <x:v>South</x:v>
      </x:c>
      <x:c r="E1058" s="1" t="str">
        <x:v>Electronics</x:v>
      </x:c>
      <x:c r="F1058" s="1" t="str">
        <x:v>Smartwatch</x:v>
      </x:c>
      <x:c r="G1058" s="1" t="n">
        <x:v>1</x:v>
      </x:c>
      <x:c r="H1058" s="2" t="n">
        <x:v>4200</x:v>
      </x:c>
      <x:c r="I1058" s="3" t="n">
        <x:v>0.35</x:v>
      </x:c>
      <x:c r="J1058" s="2" t="n">
        <x:v>3000</x:v>
      </x:c>
      <x:c r="K1058" s="2" t="n">
        <x:v>80</x:v>
      </x:c>
      <x:c r="L1058" s="2" t="n">
        <x:f>G1058*H1058</x:f>
        <x:v>4200</x:v>
      </x:c>
      <x:c r="M1058" s="2" t="n">
        <x:f>ROUND(L1058*(1-I1058),2)</x:f>
        <x:v>2730</x:v>
      </x:c>
      <x:c r="N1058" s="2" t="n">
        <x:f>G1058*J1058</x:f>
        <x:v>3000</x:v>
      </x:c>
      <x:c r="O1058" s="2" t="n">
        <x:f>M1058-N1058-K1058</x:f>
        <x:v>-350</x:v>
      </x:c>
      <x:c r="P1058" s="1" t="str">
        <x:f>TEXT(B1058,"yyyy-mm")</x:f>
        <x:v>2025-05</x:v>
      </x:c>
    </x:row>
    <x:row r="1059">
      <x:c r="A1059" s="1" t="str">
        <x:v>ORD-1055</x:v>
      </x:c>
      <x:c r="B1059" s="4" t="d">
        <x:v>2025-08-15T00:00:00.000Z</x:v>
      </x:c>
      <x:c r="C1059" s="1" t="str">
        <x:v>C-051</x:v>
      </x:c>
      <x:c r="D1059" s="1" t="str">
        <x:v>South</x:v>
      </x:c>
      <x:c r="E1059" s="1" t="str">
        <x:v>Fashion</x:v>
      </x:c>
      <x:c r="F1059" s="1" t="str">
        <x:v>T-shirt</x:v>
      </x:c>
      <x:c r="G1059" s="1" t="n">
        <x:v>4</x:v>
      </x:c>
      <x:c r="H1059" s="2" t="n">
        <x:v>700</x:v>
      </x:c>
      <x:c r="I1059" s="3" t="n">
        <x:v>0.1</x:v>
      </x:c>
      <x:c r="J1059" s="2" t="n">
        <x:v>300</x:v>
      </x:c>
      <x:c r="K1059" s="2" t="n">
        <x:v>80</x:v>
      </x:c>
      <x:c r="L1059" s="2" t="n">
        <x:f>G1059*H1059</x:f>
        <x:v>2800</x:v>
      </x:c>
      <x:c r="M1059" s="2" t="n">
        <x:f>ROUND(L1059*(1-I1059),2)</x:f>
        <x:v>2520</x:v>
      </x:c>
      <x:c r="N1059" s="2" t="n">
        <x:f>G1059*J1059</x:f>
        <x:v>1200</x:v>
      </x:c>
      <x:c r="O1059" s="2" t="n">
        <x:f>M1059-N1059-K1059</x:f>
        <x:v>1240</x:v>
      </x:c>
      <x:c r="P1059" s="1" t="str">
        <x:f>TEXT(B1059,"yyyy-mm")</x:f>
        <x:v>2025-08</x:v>
      </x:c>
    </x:row>
    <x:row r="1060">
      <x:c r="A1060" s="1" t="str">
        <x:v>ORD-1056</x:v>
      </x:c>
      <x:c r="B1060" s="4" t="d">
        <x:v>2025-02-05T00:00:00.000Z</x:v>
      </x:c>
      <x:c r="C1060" s="1" t="str">
        <x:v>C-244</x:v>
      </x:c>
      <x:c r="D1060" s="1" t="str">
        <x:v>South</x:v>
      </x:c>
      <x:c r="E1060" s="1" t="str">
        <x:v>Electronics</x:v>
      </x:c>
      <x:c r="F1060" s="1" t="str">
        <x:v>Headphones</x:v>
      </x:c>
      <x:c r="G1060" s="1" t="n">
        <x:v>4</x:v>
      </x:c>
      <x:c r="H1060" s="2" t="n">
        <x:v>2200</x:v>
      </x:c>
      <x:c r="I1060" s="3" t="n">
        <x:v>0.15</x:v>
      </x:c>
      <x:c r="J1060" s="2" t="n">
        <x:v>1450</x:v>
      </x:c>
      <x:c r="K1060" s="2" t="n">
        <x:v>50</x:v>
      </x:c>
      <x:c r="L1060" s="2" t="n">
        <x:f>G1060*H1060</x:f>
        <x:v>8800</x:v>
      </x:c>
      <x:c r="M1060" s="2" t="n">
        <x:f>ROUND(L1060*(1-I1060),2)</x:f>
        <x:v>7480</x:v>
      </x:c>
      <x:c r="N1060" s="2" t="n">
        <x:f>G1060*J1060</x:f>
        <x:v>5800</x:v>
      </x:c>
      <x:c r="O1060" s="2" t="n">
        <x:f>M1060-N1060-K1060</x:f>
        <x:v>1630</x:v>
      </x:c>
      <x:c r="P1060" s="1" t="str">
        <x:f>TEXT(B1060,"yyyy-mm")</x:f>
        <x:v>2025-02</x:v>
      </x:c>
    </x:row>
    <x:row r="1061">
      <x:c r="A1061" s="1" t="str">
        <x:v>ORD-1057</x:v>
      </x:c>
      <x:c r="B1061" s="4" t="d">
        <x:v>2025-06-19T00:00:00.000Z</x:v>
      </x:c>
      <x:c r="C1061" s="1" t="str">
        <x:v>C-287</x:v>
      </x:c>
      <x:c r="D1061" s="1" t="str">
        <x:v>West</x:v>
      </x:c>
      <x:c r="E1061" s="1" t="str">
        <x:v>Home</x:v>
      </x:c>
      <x:c r="F1061" s="1" t="str">
        <x:v>Storage box</x:v>
      </x:c>
      <x:c r="G1061" s="1" t="n">
        <x:v>3</x:v>
      </x:c>
      <x:c r="H1061" s="2" t="n">
        <x:v>800</x:v>
      </x:c>
      <x:c r="I1061" s="3" t="n">
        <x:v>0.15</x:v>
      </x:c>
      <x:c r="J1061" s="2" t="n">
        <x:v>420</x:v>
      </x:c>
      <x:c r="K1061" s="2" t="n">
        <x:v>120</x:v>
      </x:c>
      <x:c r="L1061" s="2" t="n">
        <x:f>G1061*H1061</x:f>
        <x:v>2400</x:v>
      </x:c>
      <x:c r="M1061" s="2" t="n">
        <x:f>ROUND(L1061*(1-I1061),2)</x:f>
        <x:v>2040</x:v>
      </x:c>
      <x:c r="N1061" s="2" t="n">
        <x:f>G1061*J1061</x:f>
        <x:v>1260</x:v>
      </x:c>
      <x:c r="O1061" s="2" t="n">
        <x:f>M1061-N1061-K1061</x:f>
        <x:v>660</x:v>
      </x:c>
      <x:c r="P1061" s="1" t="str">
        <x:f>TEXT(B1061,"yyyy-mm")</x:f>
        <x:v>2025-06</x:v>
      </x:c>
    </x:row>
    <x:row r="1062">
      <x:c r="A1062" s="1" t="str">
        <x:v>ORD-1058</x:v>
      </x:c>
      <x:c r="B1062" s="4" t="d">
        <x:v>2025-08-23T00:00:00.000Z</x:v>
      </x:c>
      <x:c r="C1062" s="1" t="str">
        <x:v>C-251</x:v>
      </x:c>
      <x:c r="D1062" s="1" t="str">
        <x:v>West</x:v>
      </x:c>
      <x:c r="E1062" s="1" t="str">
        <x:v>Home</x:v>
      </x:c>
      <x:c r="F1062" s="1" t="str">
        <x:v>Office chair</x:v>
      </x:c>
      <x:c r="G1062" s="1" t="n">
        <x:v>2</x:v>
      </x:c>
      <x:c r="H1062" s="2" t="n">
        <x:v>5500</x:v>
      </x:c>
      <x:c r="I1062" s="3" t="n">
        <x:v>0.15</x:v>
      </x:c>
      <x:c r="J1062" s="2" t="n">
        <x:v>4400</x:v>
      </x:c>
      <x:c r="K1062" s="2" t="n">
        <x:v>50</x:v>
      </x:c>
      <x:c r="L1062" s="2" t="n">
        <x:f>G1062*H1062</x:f>
        <x:v>11000</x:v>
      </x:c>
      <x:c r="M1062" s="2" t="n">
        <x:f>ROUND(L1062*(1-I1062),2)</x:f>
        <x:v>9350</x:v>
      </x:c>
      <x:c r="N1062" s="2" t="n">
        <x:f>G1062*J1062</x:f>
        <x:v>8800</x:v>
      </x:c>
      <x:c r="O1062" s="2" t="n">
        <x:f>M1062-N1062-K1062</x:f>
        <x:v>500</x:v>
      </x:c>
      <x:c r="P1062" s="1" t="str">
        <x:f>TEXT(B1062,"yyyy-mm")</x:f>
        <x:v>2025-08</x:v>
      </x:c>
    </x:row>
    <x:row r="1063">
      <x:c r="A1063" s="1" t="str">
        <x:v>ORD-1059</x:v>
      </x:c>
      <x:c r="B1063" s="4" t="d">
        <x:v>2025-08-15T00:00:00.000Z</x:v>
      </x:c>
      <x:c r="C1063" s="1" t="str">
        <x:v>C-067</x:v>
      </x:c>
      <x:c r="D1063" s="1" t="str">
        <x:v>North</x:v>
      </x:c>
      <x:c r="E1063" s="1" t="str">
        <x:v>Home</x:v>
      </x:c>
      <x:c r="F1063" s="1" t="str">
        <x:v>Desk lamp</x:v>
      </x:c>
      <x:c r="G1063" s="1" t="n">
        <x:v>2</x:v>
      </x:c>
      <x:c r="H1063" s="2" t="n">
        <x:v>1100</x:v>
      </x:c>
      <x:c r="I1063" s="3" t="n">
        <x:v>0.35</x:v>
      </x:c>
      <x:c r="J1063" s="2" t="n">
        <x:v>650</x:v>
      </x:c>
      <x:c r="K1063" s="2" t="n">
        <x:v>80</x:v>
      </x:c>
      <x:c r="L1063" s="2" t="n">
        <x:f>G1063*H1063</x:f>
        <x:v>2200</x:v>
      </x:c>
      <x:c r="M1063" s="2" t="n">
        <x:f>ROUND(L1063*(1-I1063),2)</x:f>
        <x:v>1430</x:v>
      </x:c>
      <x:c r="N1063" s="2" t="n">
        <x:f>G1063*J1063</x:f>
        <x:v>1300</x:v>
      </x:c>
      <x:c r="O1063" s="2" t="n">
        <x:f>M1063-N1063-K1063</x:f>
        <x:v>50</x:v>
      </x:c>
      <x:c r="P1063" s="1" t="str">
        <x:f>TEXT(B1063,"yyyy-mm")</x:f>
        <x:v>2025-08</x:v>
      </x:c>
    </x:row>
    <x:row r="1064">
      <x:c r="A1064" s="1" t="str">
        <x:v>ORD-1060</x:v>
      </x:c>
      <x:c r="B1064" s="4" t="d">
        <x:v>2025-07-12T00:00:00.000Z</x:v>
      </x:c>
      <x:c r="C1064" s="1" t="str">
        <x:v>C-061</x:v>
      </x:c>
      <x:c r="D1064" s="1" t="str">
        <x:v>West</x:v>
      </x:c>
      <x:c r="E1064" s="1" t="str">
        <x:v>Electronics</x:v>
      </x:c>
      <x:c r="F1064" s="1" t="str">
        <x:v>Smartwatch</x:v>
      </x:c>
      <x:c r="G1064" s="1" t="n">
        <x:v>1</x:v>
      </x:c>
      <x:c r="H1064" s="2" t="n">
        <x:v>4200</x:v>
      </x:c>
      <x:c r="I1064" s="3" t="n">
        <x:v>0.25</x:v>
      </x:c>
      <x:c r="J1064" s="2" t="n">
        <x:v>3000</x:v>
      </x:c>
      <x:c r="K1064" s="2" t="n">
        <x:v>50</x:v>
      </x:c>
      <x:c r="L1064" s="2" t="n">
        <x:f>G1064*H1064</x:f>
        <x:v>4200</x:v>
      </x:c>
      <x:c r="M1064" s="2" t="n">
        <x:f>ROUND(L1064*(1-I1064),2)</x:f>
        <x:v>3150</x:v>
      </x:c>
      <x:c r="N1064" s="2" t="n">
        <x:f>G1064*J1064</x:f>
        <x:v>3000</x:v>
      </x:c>
      <x:c r="O1064" s="2" t="n">
        <x:f>M1064-N1064-K1064</x:f>
        <x:v>100</x:v>
      </x:c>
      <x:c r="P1064" s="1" t="str">
        <x:f>TEXT(B1064,"yyyy-mm")</x:f>
        <x:v>2025-07</x:v>
      </x:c>
    </x:row>
    <x:row r="1065">
      <x:c r="A1065" s="1" t="str">
        <x:v>ORD-1061</x:v>
      </x:c>
      <x:c r="B1065" s="4" t="d">
        <x:v>2025-06-17T00:00:00.000Z</x:v>
      </x:c>
      <x:c r="C1065" s="1" t="str">
        <x:v>C-079</x:v>
      </x:c>
      <x:c r="D1065" s="1" t="str">
        <x:v>North</x:v>
      </x:c>
      <x:c r="E1065" s="1" t="str">
        <x:v>Fashion</x:v>
      </x:c>
      <x:c r="F1065" s="1" t="str">
        <x:v>Sneakers</x:v>
      </x:c>
      <x:c r="G1065" s="1" t="n">
        <x:v>3</x:v>
      </x:c>
      <x:c r="H1065" s="2" t="n">
        <x:v>2400</x:v>
      </x:c>
      <x:c r="I1065" s="3" t="n">
        <x:v>0</x:v>
      </x:c>
      <x:c r="J1065" s="2" t="n">
        <x:v>1200</x:v>
      </x:c>
      <x:c r="K1065" s="2" t="n">
        <x:v>80</x:v>
      </x:c>
      <x:c r="L1065" s="2" t="n">
        <x:f>G1065*H1065</x:f>
        <x:v>7200</x:v>
      </x:c>
      <x:c r="M1065" s="2" t="n">
        <x:f>ROUND(L1065*(1-I1065),2)</x:f>
        <x:v>7200</x:v>
      </x:c>
      <x:c r="N1065" s="2" t="n">
        <x:f>G1065*J1065</x:f>
        <x:v>3600</x:v>
      </x:c>
      <x:c r="O1065" s="2" t="n">
        <x:f>M1065-N1065-K1065</x:f>
        <x:v>3520</x:v>
      </x:c>
      <x:c r="P1065" s="1" t="str">
        <x:f>TEXT(B1065,"yyyy-mm")</x:f>
        <x:v>2025-06</x:v>
      </x:c>
    </x:row>
    <x:row r="1066">
      <x:c r="A1066" s="1" t="str">
        <x:v>ORD-1062</x:v>
      </x:c>
      <x:c r="B1066" s="4" t="d">
        <x:v>2025-12-16T00:00:00.000Z</x:v>
      </x:c>
      <x:c r="C1066" s="1" t="str">
        <x:v>C-015</x:v>
      </x:c>
      <x:c r="D1066" s="1" t="str">
        <x:v>South</x:v>
      </x:c>
      <x:c r="E1066" s="1" t="str">
        <x:v>Fashion</x:v>
      </x:c>
      <x:c r="F1066" s="1" t="str">
        <x:v>Sneakers</x:v>
      </x:c>
      <x:c r="G1066" s="1" t="n">
        <x:v>2</x:v>
      </x:c>
      <x:c r="H1066" s="2" t="n">
        <x:v>2400</x:v>
      </x:c>
      <x:c r="I1066" s="3" t="n">
        <x:v>0.1</x:v>
      </x:c>
      <x:c r="J1066" s="2" t="n">
        <x:v>1200</x:v>
      </x:c>
      <x:c r="K1066" s="2" t="n">
        <x:v>120</x:v>
      </x:c>
      <x:c r="L1066" s="2" t="n">
        <x:f>G1066*H1066</x:f>
        <x:v>4800</x:v>
      </x:c>
      <x:c r="M1066" s="2" t="n">
        <x:f>ROUND(L1066*(1-I1066),2)</x:f>
        <x:v>4320</x:v>
      </x:c>
      <x:c r="N1066" s="2" t="n">
        <x:f>G1066*J1066</x:f>
        <x:v>2400</x:v>
      </x:c>
      <x:c r="O1066" s="2" t="n">
        <x:f>M1066-N1066-K1066</x:f>
        <x:v>1800</x:v>
      </x:c>
      <x:c r="P1066" s="1" t="str">
        <x:f>TEXT(B1066,"yyyy-mm")</x:f>
        <x:v>2025-12</x:v>
      </x:c>
    </x:row>
    <x:row r="1067">
      <x:c r="A1067" s="1" t="str">
        <x:v>ORD-1063</x:v>
      </x:c>
      <x:c r="B1067" s="4" t="d">
        <x:v>2025-07-07T00:00:00.000Z</x:v>
      </x:c>
      <x:c r="C1067" s="1" t="str">
        <x:v>C-094</x:v>
      </x:c>
      <x:c r="D1067" s="1" t="str">
        <x:v>West</x:v>
      </x:c>
      <x:c r="E1067" s="1" t="str">
        <x:v>Fashion</x:v>
      </x:c>
      <x:c r="F1067" s="1" t="str">
        <x:v>Sneakers</x:v>
      </x:c>
      <x:c r="G1067" s="1" t="n">
        <x:v>1</x:v>
      </x:c>
      <x:c r="H1067" s="2" t="n">
        <x:v>2400</x:v>
      </x:c>
      <x:c r="I1067" s="3" t="n">
        <x:v>0.1</x:v>
      </x:c>
      <x:c r="J1067" s="2" t="n">
        <x:v>1200</x:v>
      </x:c>
      <x:c r="K1067" s="2" t="n">
        <x:v>50</x:v>
      </x:c>
      <x:c r="L1067" s="2" t="n">
        <x:f>G1067*H1067</x:f>
        <x:v>2400</x:v>
      </x:c>
      <x:c r="M1067" s="2" t="n">
        <x:f>ROUND(L1067*(1-I1067),2)</x:f>
        <x:v>2160</x:v>
      </x:c>
      <x:c r="N1067" s="2" t="n">
        <x:f>G1067*J1067</x:f>
        <x:v>1200</x:v>
      </x:c>
      <x:c r="O1067" s="2" t="n">
        <x:f>M1067-N1067-K1067</x:f>
        <x:v>910</x:v>
      </x:c>
      <x:c r="P1067" s="1" t="str">
        <x:f>TEXT(B1067,"yyyy-mm")</x:f>
        <x:v>2025-07</x:v>
      </x:c>
    </x:row>
    <x:row r="1068">
      <x:c r="A1068" s="1" t="str">
        <x:v>ORD-1064</x:v>
      </x:c>
      <x:c r="B1068" s="4" t="d">
        <x:v>2025-08-14T00:00:00.000Z</x:v>
      </x:c>
      <x:c r="C1068" s="1" t="str">
        <x:v>C-247</x:v>
      </x:c>
      <x:c r="D1068" s="1" t="str">
        <x:v>East</x:v>
      </x:c>
      <x:c r="E1068" s="1" t="str">
        <x:v>Electronics</x:v>
      </x:c>
      <x:c r="F1068" s="1" t="str">
        <x:v>Keyboard</x:v>
      </x:c>
      <x:c r="G1068" s="1" t="n">
        <x:v>4</x:v>
      </x:c>
      <x:c r="H1068" s="2" t="n">
        <x:v>1500</x:v>
      </x:c>
      <x:c r="I1068" s="3" t="n">
        <x:v>0</x:v>
      </x:c>
      <x:c r="J1068" s="2" t="n">
        <x:v>900</x:v>
      </x:c>
      <x:c r="K1068" s="2" t="n">
        <x:v>80</x:v>
      </x:c>
      <x:c r="L1068" s="2" t="n">
        <x:f>G1068*H1068</x:f>
        <x:v>6000</x:v>
      </x:c>
      <x:c r="M1068" s="2" t="n">
        <x:f>ROUND(L1068*(1-I1068),2)</x:f>
        <x:v>6000</x:v>
      </x:c>
      <x:c r="N1068" s="2" t="n">
        <x:f>G1068*J1068</x:f>
        <x:v>3600</x:v>
      </x:c>
      <x:c r="O1068" s="2" t="n">
        <x:f>M1068-N1068-K1068</x:f>
        <x:v>2320</x:v>
      </x:c>
      <x:c r="P1068" s="1" t="str">
        <x:f>TEXT(B1068,"yyyy-mm")</x:f>
        <x:v>2025-08</x:v>
      </x:c>
    </x:row>
    <x:row r="1069">
      <x:c r="A1069" s="1" t="str">
        <x:v>ORD-1065</x:v>
      </x:c>
      <x:c r="B1069" s="4" t="d">
        <x:v>2025-11-27T00:00:00.000Z</x:v>
      </x:c>
      <x:c r="C1069" s="1" t="str">
        <x:v>C-068</x:v>
      </x:c>
      <x:c r="D1069" s="1" t="str">
        <x:v>South</x:v>
      </x:c>
      <x:c r="E1069" s="1" t="str">
        <x:v>Home</x:v>
      </x:c>
      <x:c r="F1069" s="1" t="str">
        <x:v>Desk lamp</x:v>
      </x:c>
      <x:c r="G1069" s="1" t="n">
        <x:v>4</x:v>
      </x:c>
      <x:c r="H1069" s="2" t="n">
        <x:v>1100</x:v>
      </x:c>
      <x:c r="I1069" s="3" t="n">
        <x:v>0.35</x:v>
      </x:c>
      <x:c r="J1069" s="2" t="n">
        <x:v>650</x:v>
      </x:c>
      <x:c r="K1069" s="2" t="n">
        <x:v>80</x:v>
      </x:c>
      <x:c r="L1069" s="2" t="n">
        <x:f>G1069*H1069</x:f>
        <x:v>4400</x:v>
      </x:c>
      <x:c r="M1069" s="2" t="n">
        <x:f>ROUND(L1069*(1-I1069),2)</x:f>
        <x:v>2860</x:v>
      </x:c>
      <x:c r="N1069" s="2" t="n">
        <x:f>G1069*J1069</x:f>
        <x:v>2600</x:v>
      </x:c>
      <x:c r="O1069" s="2" t="n">
        <x:f>M1069-N1069-K1069</x:f>
        <x:v>180</x:v>
      </x:c>
      <x:c r="P1069" s="1" t="str">
        <x:f>TEXT(B1069,"yyyy-mm")</x:f>
        <x:v>2025-11</x:v>
      </x:c>
    </x:row>
    <x:row r="1070">
      <x:c r="A1070" s="1" t="str">
        <x:v>ORD-1066</x:v>
      </x:c>
      <x:c r="B1070" s="4" t="d">
        <x:v>2025-10-11T00:00:00.000Z</x:v>
      </x:c>
      <x:c r="C1070" s="1" t="str">
        <x:v>C-046</x:v>
      </x:c>
      <x:c r="D1070" s="1" t="str">
        <x:v>West</x:v>
      </x:c>
      <x:c r="E1070" s="1" t="str">
        <x:v>Electronics</x:v>
      </x:c>
      <x:c r="F1070" s="1" t="str">
        <x:v>Smartwatch</x:v>
      </x:c>
      <x:c r="G1070" s="1" t="n">
        <x:v>4</x:v>
      </x:c>
      <x:c r="H1070" s="2" t="n">
        <x:v>4200</x:v>
      </x:c>
      <x:c r="I1070" s="3" t="n">
        <x:v>0.35</x:v>
      </x:c>
      <x:c r="J1070" s="2" t="n">
        <x:v>3000</x:v>
      </x:c>
      <x:c r="K1070" s="2" t="n">
        <x:v>50</x:v>
      </x:c>
      <x:c r="L1070" s="2" t="n">
        <x:f>G1070*H1070</x:f>
        <x:v>16800</x:v>
      </x:c>
      <x:c r="M1070" s="2" t="n">
        <x:f>ROUND(L1070*(1-I1070),2)</x:f>
        <x:v>10920</x:v>
      </x:c>
      <x:c r="N1070" s="2" t="n">
        <x:f>G1070*J1070</x:f>
        <x:v>12000</x:v>
      </x:c>
      <x:c r="O1070" s="2" t="n">
        <x:f>M1070-N1070-K1070</x:f>
        <x:v>-1130</x:v>
      </x:c>
      <x:c r="P1070" s="1" t="str">
        <x:f>TEXT(B1070,"yyyy-mm")</x:f>
        <x:v>2025-10</x:v>
      </x:c>
    </x:row>
    <x:row r="1071">
      <x:c r="A1071" s="1" t="str">
        <x:v>ORD-1067</x:v>
      </x:c>
      <x:c r="B1071" s="4" t="d">
        <x:v>2025-12-02T00:00:00.000Z</x:v>
      </x:c>
      <x:c r="C1071" s="1" t="str">
        <x:v>C-227</x:v>
      </x:c>
      <x:c r="D1071" s="1" t="str">
        <x:v>East</x:v>
      </x:c>
      <x:c r="E1071" s="1" t="str">
        <x:v>Fashion</x:v>
      </x:c>
      <x:c r="F1071" s="1" t="str">
        <x:v>Backpack</x:v>
      </x:c>
      <x:c r="G1071" s="1" t="n">
        <x:v>1</x:v>
      </x:c>
      <x:c r="H1071" s="2" t="n">
        <x:v>1300</x:v>
      </x:c>
      <x:c r="I1071" s="3" t="n">
        <x:v>0.25</x:v>
      </x:c>
      <x:c r="J1071" s="2" t="n">
        <x:v>650</x:v>
      </x:c>
      <x:c r="K1071" s="2" t="n">
        <x:v>50</x:v>
      </x:c>
      <x:c r="L1071" s="2" t="n">
        <x:f>G1071*H1071</x:f>
        <x:v>1300</x:v>
      </x:c>
      <x:c r="M1071" s="2" t="n">
        <x:f>ROUND(L1071*(1-I1071),2)</x:f>
        <x:v>975</x:v>
      </x:c>
      <x:c r="N1071" s="2" t="n">
        <x:f>G1071*J1071</x:f>
        <x:v>650</x:v>
      </x:c>
      <x:c r="O1071" s="2" t="n">
        <x:f>M1071-N1071-K1071</x:f>
        <x:v>275</x:v>
      </x:c>
      <x:c r="P1071" s="1" t="str">
        <x:f>TEXT(B1071,"yyyy-mm")</x:f>
        <x:v>2025-12</x:v>
      </x:c>
    </x:row>
    <x:row r="1072">
      <x:c r="A1072" s="1" t="str">
        <x:v>ORD-1068</x:v>
      </x:c>
      <x:c r="B1072" s="4" t="d">
        <x:v>2025-10-21T00:00:00.000Z</x:v>
      </x:c>
      <x:c r="C1072" s="1" t="str">
        <x:v>C-064</x:v>
      </x:c>
      <x:c r="D1072" s="1" t="str">
        <x:v>North</x:v>
      </x:c>
      <x:c r="E1072" s="1" t="str">
        <x:v>Fashion</x:v>
      </x:c>
      <x:c r="F1072" s="1" t="str">
        <x:v>Sneakers</x:v>
      </x:c>
      <x:c r="G1072" s="1" t="n">
        <x:v>2</x:v>
      </x:c>
      <x:c r="H1072" s="2" t="n">
        <x:v>2400</x:v>
      </x:c>
      <x:c r="I1072" s="3" t="n">
        <x:v>0.25</x:v>
      </x:c>
      <x:c r="J1072" s="2" t="n">
        <x:v>1200</x:v>
      </x:c>
      <x:c r="K1072" s="2" t="n">
        <x:v>120</x:v>
      </x:c>
      <x:c r="L1072" s="2" t="n">
        <x:f>G1072*H1072</x:f>
        <x:v>4800</x:v>
      </x:c>
      <x:c r="M1072" s="2" t="n">
        <x:f>ROUND(L1072*(1-I1072),2)</x:f>
        <x:v>3600</x:v>
      </x:c>
      <x:c r="N1072" s="2" t="n">
        <x:f>G1072*J1072</x:f>
        <x:v>2400</x:v>
      </x:c>
      <x:c r="O1072" s="2" t="n">
        <x:f>M1072-N1072-K1072</x:f>
        <x:v>1080</x:v>
      </x:c>
      <x:c r="P1072" s="1" t="str">
        <x:f>TEXT(B1072,"yyyy-mm")</x:f>
        <x:v>2025-10</x:v>
      </x:c>
    </x:row>
    <x:row r="1073">
      <x:c r="A1073" s="1" t="str">
        <x:v>ORD-1069</x:v>
      </x:c>
      <x:c r="B1073" s="4" t="d">
        <x:v>2025-08-17T00:00:00.000Z</x:v>
      </x:c>
      <x:c r="C1073" s="1" t="str">
        <x:v>C-097</x:v>
      </x:c>
      <x:c r="D1073" s="1" t="str">
        <x:v>West</x:v>
      </x:c>
      <x:c r="E1073" s="1" t="str">
        <x:v>Electronics</x:v>
      </x:c>
      <x:c r="F1073" s="1" t="str">
        <x:v>Headphones</x:v>
      </x:c>
      <x:c r="G1073" s="1" t="n">
        <x:v>1</x:v>
      </x:c>
      <x:c r="H1073" s="2" t="n">
        <x:v>2200</x:v>
      </x:c>
      <x:c r="I1073" s="3" t="n">
        <x:v>0.25</x:v>
      </x:c>
      <x:c r="J1073" s="2" t="n">
        <x:v>1450</x:v>
      </x:c>
      <x:c r="K1073" s="2" t="n">
        <x:v>50</x:v>
      </x:c>
      <x:c r="L1073" s="2" t="n">
        <x:f>G1073*H1073</x:f>
        <x:v>2200</x:v>
      </x:c>
      <x:c r="M1073" s="2" t="n">
        <x:f>ROUND(L1073*(1-I1073),2)</x:f>
        <x:v>1650</x:v>
      </x:c>
      <x:c r="N1073" s="2" t="n">
        <x:f>G1073*J1073</x:f>
        <x:v>1450</x:v>
      </x:c>
      <x:c r="O1073" s="2" t="n">
        <x:f>M1073-N1073-K1073</x:f>
        <x:v>150</x:v>
      </x:c>
      <x:c r="P1073" s="1" t="str">
        <x:f>TEXT(B1073,"yyyy-mm")</x:f>
        <x:v>2025-08</x:v>
      </x:c>
    </x:row>
    <x:row r="1074">
      <x:c r="A1074" s="1" t="str">
        <x:v>ORD-1070</x:v>
      </x:c>
      <x:c r="B1074" s="4" t="d">
        <x:v>2025-10-31T00:00:00.000Z</x:v>
      </x:c>
      <x:c r="C1074" s="1" t="str">
        <x:v>C-010</x:v>
      </x:c>
      <x:c r="D1074" s="1" t="str">
        <x:v>East</x:v>
      </x:c>
      <x:c r="E1074" s="1" t="str">
        <x:v>Home</x:v>
      </x:c>
      <x:c r="F1074" s="1" t="str">
        <x:v>Storage box</x:v>
      </x:c>
      <x:c r="G1074" s="1" t="n">
        <x:v>2</x:v>
      </x:c>
      <x:c r="H1074" s="2" t="n">
        <x:v>800</x:v>
      </x:c>
      <x:c r="I1074" s="3" t="n">
        <x:v>0.05</x:v>
      </x:c>
      <x:c r="J1074" s="2" t="n">
        <x:v>420</x:v>
      </x:c>
      <x:c r="K1074" s="2" t="n">
        <x:v>50</x:v>
      </x:c>
      <x:c r="L1074" s="2" t="n">
        <x:f>G1074*H1074</x:f>
        <x:v>1600</x:v>
      </x:c>
      <x:c r="M1074" s="2" t="n">
        <x:f>ROUND(L1074*(1-I1074),2)</x:f>
        <x:v>1520</x:v>
      </x:c>
      <x:c r="N1074" s="2" t="n">
        <x:f>G1074*J1074</x:f>
        <x:v>840</x:v>
      </x:c>
      <x:c r="O1074" s="2" t="n">
        <x:f>M1074-N1074-K1074</x:f>
        <x:v>630</x:v>
      </x:c>
      <x:c r="P1074" s="1" t="str">
        <x:f>TEXT(B1074,"yyyy-mm")</x:f>
        <x:v>2025-10</x:v>
      </x:c>
    </x:row>
    <x:row r="1075">
      <x:c r="A1075" s="1" t="str">
        <x:v>ORD-1071</x:v>
      </x:c>
      <x:c r="B1075" s="4" t="d">
        <x:v>2025-11-26T00:00:00.000Z</x:v>
      </x:c>
      <x:c r="C1075" s="1" t="str">
        <x:v>C-274</x:v>
      </x:c>
      <x:c r="D1075" s="1" t="str">
        <x:v>East</x:v>
      </x:c>
      <x:c r="E1075" s="1" t="str">
        <x:v>Home</x:v>
      </x:c>
      <x:c r="F1075" s="1" t="str">
        <x:v>Desk lamp</x:v>
      </x:c>
      <x:c r="G1075" s="1" t="n">
        <x:v>4</x:v>
      </x:c>
      <x:c r="H1075" s="2" t="n">
        <x:v>1100</x:v>
      </x:c>
      <x:c r="I1075" s="3" t="n">
        <x:v>0</x:v>
      </x:c>
      <x:c r="J1075" s="2" t="n">
        <x:v>650</x:v>
      </x:c>
      <x:c r="K1075" s="2" t="n">
        <x:v>120</x:v>
      </x:c>
      <x:c r="L1075" s="2" t="n">
        <x:f>G1075*H1075</x:f>
        <x:v>4400</x:v>
      </x:c>
      <x:c r="M1075" s="2" t="n">
        <x:f>ROUND(L1075*(1-I1075),2)</x:f>
        <x:v>4400</x:v>
      </x:c>
      <x:c r="N1075" s="2" t="n">
        <x:f>G1075*J1075</x:f>
        <x:v>2600</x:v>
      </x:c>
      <x:c r="O1075" s="2" t="n">
        <x:f>M1075-N1075-K1075</x:f>
        <x:v>1680</x:v>
      </x:c>
      <x:c r="P1075" s="1" t="str">
        <x:f>TEXT(B1075,"yyyy-mm")</x:f>
        <x:v>2025-11</x:v>
      </x:c>
    </x:row>
    <x:row r="1076">
      <x:c r="A1076" s="1" t="str">
        <x:v>ORD-1072</x:v>
      </x:c>
      <x:c r="B1076" s="4" t="d">
        <x:v>2025-01-14T00:00:00.000Z</x:v>
      </x:c>
      <x:c r="C1076" s="1" t="str">
        <x:v>C-093</x:v>
      </x:c>
      <x:c r="D1076" s="1" t="str">
        <x:v>West</x:v>
      </x:c>
      <x:c r="E1076" s="1" t="str">
        <x:v>Electronics</x:v>
      </x:c>
      <x:c r="F1076" s="1" t="str">
        <x:v>Headphones</x:v>
      </x:c>
      <x:c r="G1076" s="1" t="n">
        <x:v>1</x:v>
      </x:c>
      <x:c r="H1076" s="2" t="n">
        <x:v>2200</x:v>
      </x:c>
      <x:c r="I1076" s="3" t="n">
        <x:v>0.1</x:v>
      </x:c>
      <x:c r="J1076" s="2" t="n">
        <x:v>1450</x:v>
      </x:c>
      <x:c r="K1076" s="2" t="n">
        <x:v>120</x:v>
      </x:c>
      <x:c r="L1076" s="2" t="n">
        <x:f>G1076*H1076</x:f>
        <x:v>2200</x:v>
      </x:c>
      <x:c r="M1076" s="2" t="n">
        <x:f>ROUND(L1076*(1-I1076),2)</x:f>
        <x:v>1980</x:v>
      </x:c>
      <x:c r="N1076" s="2" t="n">
        <x:f>G1076*J1076</x:f>
        <x:v>1450</x:v>
      </x:c>
      <x:c r="O1076" s="2" t="n">
        <x:f>M1076-N1076-K1076</x:f>
        <x:v>410</x:v>
      </x:c>
      <x:c r="P1076" s="1" t="str">
        <x:f>TEXT(B1076,"yyyy-mm")</x:f>
        <x:v>2025-01</x:v>
      </x:c>
    </x:row>
    <x:row r="1077">
      <x:c r="A1077" s="1" t="str">
        <x:v>ORD-1073</x:v>
      </x:c>
      <x:c r="B1077" s="4" t="d">
        <x:v>2025-05-04T00:00:00.000Z</x:v>
      </x:c>
      <x:c r="C1077" s="1" t="str">
        <x:v>C-051</x:v>
      </x:c>
      <x:c r="D1077" s="1" t="str">
        <x:v>South</x:v>
      </x:c>
      <x:c r="E1077" s="1" t="str">
        <x:v>Fashion</x:v>
      </x:c>
      <x:c r="F1077" s="1" t="str">
        <x:v>Sneakers</x:v>
      </x:c>
      <x:c r="G1077" s="1" t="n">
        <x:v>3</x:v>
      </x:c>
      <x:c r="H1077" s="2" t="n">
        <x:v>2400</x:v>
      </x:c>
      <x:c r="I1077" s="3" t="n">
        <x:v>0</x:v>
      </x:c>
      <x:c r="J1077" s="2" t="n">
        <x:v>1200</x:v>
      </x:c>
      <x:c r="K1077" s="2" t="n">
        <x:v>50</x:v>
      </x:c>
      <x:c r="L1077" s="2" t="n">
        <x:f>G1077*H1077</x:f>
        <x:v>7200</x:v>
      </x:c>
      <x:c r="M1077" s="2" t="n">
        <x:f>ROUND(L1077*(1-I1077),2)</x:f>
        <x:v>7200</x:v>
      </x:c>
      <x:c r="N1077" s="2" t="n">
        <x:f>G1077*J1077</x:f>
        <x:v>3600</x:v>
      </x:c>
      <x:c r="O1077" s="2" t="n">
        <x:f>M1077-N1077-K1077</x:f>
        <x:v>3550</x:v>
      </x:c>
      <x:c r="P1077" s="1" t="str">
        <x:f>TEXT(B1077,"yyyy-mm")</x:f>
        <x:v>2025-05</x:v>
      </x:c>
    </x:row>
    <x:row r="1078">
      <x:c r="A1078" s="1" t="str">
        <x:v>ORD-1074</x:v>
      </x:c>
      <x:c r="B1078" s="4" t="d">
        <x:v>2025-03-10T00:00:00.000Z</x:v>
      </x:c>
      <x:c r="C1078" s="1" t="str">
        <x:v>C-209</x:v>
      </x:c>
      <x:c r="D1078" s="1" t="str">
        <x:v>South</x:v>
      </x:c>
      <x:c r="E1078" s="1" t="str">
        <x:v>Electronics</x:v>
      </x:c>
      <x:c r="F1078" s="1" t="str">
        <x:v>Keyboard</x:v>
      </x:c>
      <x:c r="G1078" s="1" t="n">
        <x:v>1</x:v>
      </x:c>
      <x:c r="H1078" s="2" t="n">
        <x:v>1500</x:v>
      </x:c>
      <x:c r="I1078" s="3" t="n">
        <x:v>0.05</x:v>
      </x:c>
      <x:c r="J1078" s="2" t="n">
        <x:v>900</x:v>
      </x:c>
      <x:c r="K1078" s="2" t="n">
        <x:v>120</x:v>
      </x:c>
      <x:c r="L1078" s="2" t="n">
        <x:f>G1078*H1078</x:f>
        <x:v>1500</x:v>
      </x:c>
      <x:c r="M1078" s="2" t="n">
        <x:f>ROUND(L1078*(1-I1078),2)</x:f>
        <x:v>1425</x:v>
      </x:c>
      <x:c r="N1078" s="2" t="n">
        <x:f>G1078*J1078</x:f>
        <x:v>900</x:v>
      </x:c>
      <x:c r="O1078" s="2" t="n">
        <x:f>M1078-N1078-K1078</x:f>
        <x:v>405</x:v>
      </x:c>
      <x:c r="P1078" s="1" t="str">
        <x:f>TEXT(B1078,"yyyy-mm")</x:f>
        <x:v>2025-03</x:v>
      </x:c>
    </x:row>
    <x:row r="1079">
      <x:c r="A1079" s="1" t="str">
        <x:v>ORD-1075</x:v>
      </x:c>
      <x:c r="B1079" s="4" t="d">
        <x:v>2025-12-23T00:00:00.000Z</x:v>
      </x:c>
      <x:c r="C1079" s="1" t="str">
        <x:v>C-030</x:v>
      </x:c>
      <x:c r="D1079" s="1" t="str">
        <x:v>East</x:v>
      </x:c>
      <x:c r="E1079" s="1" t="str">
        <x:v>Electronics</x:v>
      </x:c>
      <x:c r="F1079" s="1" t="str">
        <x:v>Smartwatch</x:v>
      </x:c>
      <x:c r="G1079" s="1" t="n">
        <x:v>4</x:v>
      </x:c>
      <x:c r="H1079" s="2" t="n">
        <x:v>4200</x:v>
      </x:c>
      <x:c r="I1079" s="3" t="n">
        <x:v>0</x:v>
      </x:c>
      <x:c r="J1079" s="2" t="n">
        <x:v>3000</x:v>
      </x:c>
      <x:c r="K1079" s="2" t="n">
        <x:v>50</x:v>
      </x:c>
      <x:c r="L1079" s="2" t="n">
        <x:f>G1079*H1079</x:f>
        <x:v>16800</x:v>
      </x:c>
      <x:c r="M1079" s="2" t="n">
        <x:f>ROUND(L1079*(1-I1079),2)</x:f>
        <x:v>16800</x:v>
      </x:c>
      <x:c r="N1079" s="2" t="n">
        <x:f>G1079*J1079</x:f>
        <x:v>12000</x:v>
      </x:c>
      <x:c r="O1079" s="2" t="n">
        <x:f>M1079-N1079-K1079</x:f>
        <x:v>4750</x:v>
      </x:c>
      <x:c r="P1079" s="1" t="str">
        <x:f>TEXT(B1079,"yyyy-mm")</x:f>
        <x:v>2025-12</x:v>
      </x:c>
    </x:row>
    <x:row r="1080">
      <x:c r="A1080" s="1" t="str">
        <x:v>ORD-1076</x:v>
      </x:c>
      <x:c r="B1080" s="4" t="d">
        <x:v>2025-05-09T00:00:00.000Z</x:v>
      </x:c>
      <x:c r="C1080" s="1" t="str">
        <x:v>C-193</x:v>
      </x:c>
      <x:c r="D1080" s="1" t="str">
        <x:v>North</x:v>
      </x:c>
      <x:c r="E1080" s="1" t="str">
        <x:v>Home</x:v>
      </x:c>
      <x:c r="F1080" s="1" t="str">
        <x:v>Office chair</x:v>
      </x:c>
      <x:c r="G1080" s="1" t="n">
        <x:v>1</x:v>
      </x:c>
      <x:c r="H1080" s="2" t="n">
        <x:v>5500</x:v>
      </x:c>
      <x:c r="I1080" s="3" t="n">
        <x:v>0.1</x:v>
      </x:c>
      <x:c r="J1080" s="2" t="n">
        <x:v>4400</x:v>
      </x:c>
      <x:c r="K1080" s="2" t="n">
        <x:v>50</x:v>
      </x:c>
      <x:c r="L1080" s="2" t="n">
        <x:f>G1080*H1080</x:f>
        <x:v>5500</x:v>
      </x:c>
      <x:c r="M1080" s="2" t="n">
        <x:f>ROUND(L1080*(1-I1080),2)</x:f>
        <x:v>4950</x:v>
      </x:c>
      <x:c r="N1080" s="2" t="n">
        <x:f>G1080*J1080</x:f>
        <x:v>4400</x:v>
      </x:c>
      <x:c r="O1080" s="2" t="n">
        <x:f>M1080-N1080-K1080</x:f>
        <x:v>500</x:v>
      </x:c>
      <x:c r="P1080" s="1" t="str">
        <x:f>TEXT(B1080,"yyyy-mm")</x:f>
        <x:v>2025-05</x:v>
      </x:c>
    </x:row>
    <x:row r="1081">
      <x:c r="A1081" s="1" t="str">
        <x:v>ORD-1077</x:v>
      </x:c>
      <x:c r="B1081" s="4" t="d">
        <x:v>2025-04-17T00:00:00.000Z</x:v>
      </x:c>
      <x:c r="C1081" s="1" t="str">
        <x:v>C-259</x:v>
      </x:c>
      <x:c r="D1081" s="1" t="str">
        <x:v>West</x:v>
      </x:c>
      <x:c r="E1081" s="1" t="str">
        <x:v>Fashion</x:v>
      </x:c>
      <x:c r="F1081" s="1" t="str">
        <x:v>T-shirt</x:v>
      </x:c>
      <x:c r="G1081" s="1" t="n">
        <x:v>1</x:v>
      </x:c>
      <x:c r="H1081" s="2" t="n">
        <x:v>700</x:v>
      </x:c>
      <x:c r="I1081" s="3" t="n">
        <x:v>0.15</x:v>
      </x:c>
      <x:c r="J1081" s="2" t="n">
        <x:v>300</x:v>
      </x:c>
      <x:c r="K1081" s="2" t="n">
        <x:v>80</x:v>
      </x:c>
      <x:c r="L1081" s="2" t="n">
        <x:f>G1081*H1081</x:f>
        <x:v>700</x:v>
      </x:c>
      <x:c r="M1081" s="2" t="n">
        <x:f>ROUND(L1081*(1-I1081),2)</x:f>
        <x:v>595</x:v>
      </x:c>
      <x:c r="N1081" s="2" t="n">
        <x:f>G1081*J1081</x:f>
        <x:v>300</x:v>
      </x:c>
      <x:c r="O1081" s="2" t="n">
        <x:f>M1081-N1081-K1081</x:f>
        <x:v>215</x:v>
      </x:c>
      <x:c r="P1081" s="1" t="str">
        <x:f>TEXT(B1081,"yyyy-mm")</x:f>
        <x:v>2025-04</x:v>
      </x:c>
    </x:row>
    <x:row r="1082">
      <x:c r="A1082" s="1" t="str">
        <x:v>ORD-1078</x:v>
      </x:c>
      <x:c r="B1082" s="4" t="d">
        <x:v>2025-01-14T00:00:00.000Z</x:v>
      </x:c>
      <x:c r="C1082" s="1" t="str">
        <x:v>C-034</x:v>
      </x:c>
      <x:c r="D1082" s="1" t="str">
        <x:v>West</x:v>
      </x:c>
      <x:c r="E1082" s="1" t="str">
        <x:v>Home</x:v>
      </x:c>
      <x:c r="F1082" s="1" t="str">
        <x:v>Desk lamp</x:v>
      </x:c>
      <x:c r="G1082" s="1" t="n">
        <x:v>1</x:v>
      </x:c>
      <x:c r="H1082" s="2" t="n">
        <x:v>1100</x:v>
      </x:c>
      <x:c r="I1082" s="3" t="n">
        <x:v>0.25</x:v>
      </x:c>
      <x:c r="J1082" s="2" t="n">
        <x:v>650</x:v>
      </x:c>
      <x:c r="K1082" s="2" t="n">
        <x:v>80</x:v>
      </x:c>
      <x:c r="L1082" s="2" t="n">
        <x:f>G1082*H1082</x:f>
        <x:v>1100</x:v>
      </x:c>
      <x:c r="M1082" s="2" t="n">
        <x:f>ROUND(L1082*(1-I1082),2)</x:f>
        <x:v>825</x:v>
      </x:c>
      <x:c r="N1082" s="2" t="n">
        <x:f>G1082*J1082</x:f>
        <x:v>650</x:v>
      </x:c>
      <x:c r="O1082" s="2" t="n">
        <x:f>M1082-N1082-K1082</x:f>
        <x:v>95</x:v>
      </x:c>
      <x:c r="P1082" s="1" t="str">
        <x:f>TEXT(B1082,"yyyy-mm")</x:f>
        <x:v>2025-01</x:v>
      </x:c>
    </x:row>
    <x:row r="1083">
      <x:c r="A1083" s="1" t="str">
        <x:v>ORD-1079</x:v>
      </x:c>
      <x:c r="B1083" s="4" t="d">
        <x:v>2025-09-18T00:00:00.000Z</x:v>
      </x:c>
      <x:c r="C1083" s="1" t="str">
        <x:v>C-052</x:v>
      </x:c>
      <x:c r="D1083" s="1" t="str">
        <x:v>South</x:v>
      </x:c>
      <x:c r="E1083" s="1" t="str">
        <x:v>Electronics</x:v>
      </x:c>
      <x:c r="F1083" s="1" t="str">
        <x:v>Headphones</x:v>
      </x:c>
      <x:c r="G1083" s="1" t="n">
        <x:v>2</x:v>
      </x:c>
      <x:c r="H1083" s="2" t="n">
        <x:v>2200</x:v>
      </x:c>
      <x:c r="I1083" s="3" t="n">
        <x:v>0.1</x:v>
      </x:c>
      <x:c r="J1083" s="2" t="n">
        <x:v>1450</x:v>
      </x:c>
      <x:c r="K1083" s="2" t="n">
        <x:v>80</x:v>
      </x:c>
      <x:c r="L1083" s="2" t="n">
        <x:f>G1083*H1083</x:f>
        <x:v>4400</x:v>
      </x:c>
      <x:c r="M1083" s="2" t="n">
        <x:f>ROUND(L1083*(1-I1083),2)</x:f>
        <x:v>3960</x:v>
      </x:c>
      <x:c r="N1083" s="2" t="n">
        <x:f>G1083*J1083</x:f>
        <x:v>2900</x:v>
      </x:c>
      <x:c r="O1083" s="2" t="n">
        <x:f>M1083-N1083-K1083</x:f>
        <x:v>980</x:v>
      </x:c>
      <x:c r="P1083" s="1" t="str">
        <x:f>TEXT(B1083,"yyyy-mm")</x:f>
        <x:v>2025-09</x:v>
      </x:c>
    </x:row>
    <x:row r="1084">
      <x:c r="A1084" s="1" t="str">
        <x:v>ORD-1080</x:v>
      </x:c>
      <x:c r="B1084" s="4" t="d">
        <x:v>2025-08-28T00:00:00.000Z</x:v>
      </x:c>
      <x:c r="C1084" s="1" t="str">
        <x:v>C-257</x:v>
      </x:c>
      <x:c r="D1084" s="1" t="str">
        <x:v>South</x:v>
      </x:c>
      <x:c r="E1084" s="1" t="str">
        <x:v>Home</x:v>
      </x:c>
      <x:c r="F1084" s="1" t="str">
        <x:v>Desk lamp</x:v>
      </x:c>
      <x:c r="G1084" s="1" t="n">
        <x:v>2</x:v>
      </x:c>
      <x:c r="H1084" s="2" t="n">
        <x:v>1100</x:v>
      </x:c>
      <x:c r="I1084" s="3" t="n">
        <x:v>0</x:v>
      </x:c>
      <x:c r="J1084" s="2" t="n">
        <x:v>650</x:v>
      </x:c>
      <x:c r="K1084" s="2" t="n">
        <x:v>80</x:v>
      </x:c>
      <x:c r="L1084" s="2" t="n">
        <x:f>G1084*H1084</x:f>
        <x:v>2200</x:v>
      </x:c>
      <x:c r="M1084" s="2" t="n">
        <x:f>ROUND(L1084*(1-I1084),2)</x:f>
        <x:v>2200</x:v>
      </x:c>
      <x:c r="N1084" s="2" t="n">
        <x:f>G1084*J1084</x:f>
        <x:v>1300</x:v>
      </x:c>
      <x:c r="O1084" s="2" t="n">
        <x:f>M1084-N1084-K1084</x:f>
        <x:v>820</x:v>
      </x:c>
      <x:c r="P1084" s="1" t="str">
        <x:f>TEXT(B1084,"yyyy-mm")</x:f>
        <x:v>2025-08</x:v>
      </x:c>
    </x:row>
    <x:row r="1085">
      <x:c r="A1085" s="1" t="str">
        <x:v>ORD-1081</x:v>
      </x:c>
      <x:c r="B1085" s="4" t="d">
        <x:v>2025-08-18T00:00:00.000Z</x:v>
      </x:c>
      <x:c r="C1085" s="1" t="str">
        <x:v>C-217</x:v>
      </x:c>
      <x:c r="D1085" s="1" t="str">
        <x:v>West</x:v>
      </x:c>
      <x:c r="E1085" s="1" t="str">
        <x:v>Electronics</x:v>
      </x:c>
      <x:c r="F1085" s="1" t="str">
        <x:v>Smartwatch</x:v>
      </x:c>
      <x:c r="G1085" s="1" t="n">
        <x:v>1</x:v>
      </x:c>
      <x:c r="H1085" s="2" t="n">
        <x:v>4200</x:v>
      </x:c>
      <x:c r="I1085" s="3" t="n">
        <x:v>0.05</x:v>
      </x:c>
      <x:c r="J1085" s="2" t="n">
        <x:v>3000</x:v>
      </x:c>
      <x:c r="K1085" s="2" t="n">
        <x:v>50</x:v>
      </x:c>
      <x:c r="L1085" s="2" t="n">
        <x:f>G1085*H1085</x:f>
        <x:v>4200</x:v>
      </x:c>
      <x:c r="M1085" s="2" t="n">
        <x:f>ROUND(L1085*(1-I1085),2)</x:f>
        <x:v>3990</x:v>
      </x:c>
      <x:c r="N1085" s="2" t="n">
        <x:f>G1085*J1085</x:f>
        <x:v>3000</x:v>
      </x:c>
      <x:c r="O1085" s="2" t="n">
        <x:f>M1085-N1085-K1085</x:f>
        <x:v>940</x:v>
      </x:c>
      <x:c r="P1085" s="1" t="str">
        <x:f>TEXT(B1085,"yyyy-mm")</x:f>
        <x:v>2025-08</x:v>
      </x:c>
    </x:row>
    <x:row r="1086">
      <x:c r="A1086" s="1" t="str">
        <x:v>ORD-1082</x:v>
      </x:c>
      <x:c r="B1086" s="4" t="d">
        <x:v>2025-11-06T00:00:00.000Z</x:v>
      </x:c>
      <x:c r="C1086" s="1" t="str">
        <x:v>C-001</x:v>
      </x:c>
      <x:c r="D1086" s="1" t="str">
        <x:v>North</x:v>
      </x:c>
      <x:c r="E1086" s="1" t="str">
        <x:v>Fashion</x:v>
      </x:c>
      <x:c r="F1086" s="1" t="str">
        <x:v>Sneakers</x:v>
      </x:c>
      <x:c r="G1086" s="1" t="n">
        <x:v>4</x:v>
      </x:c>
      <x:c r="H1086" s="2" t="n">
        <x:v>2400</x:v>
      </x:c>
      <x:c r="I1086" s="3" t="n">
        <x:v>0.35</x:v>
      </x:c>
      <x:c r="J1086" s="2" t="n">
        <x:v>1200</x:v>
      </x:c>
      <x:c r="K1086" s="2" t="n">
        <x:v>80</x:v>
      </x:c>
      <x:c r="L1086" s="2" t="n">
        <x:f>G1086*H1086</x:f>
        <x:v>9600</x:v>
      </x:c>
      <x:c r="M1086" s="2" t="n">
        <x:f>ROUND(L1086*(1-I1086),2)</x:f>
        <x:v>6240</x:v>
      </x:c>
      <x:c r="N1086" s="2" t="n">
        <x:f>G1086*J1086</x:f>
        <x:v>4800</x:v>
      </x:c>
      <x:c r="O1086" s="2" t="n">
        <x:f>M1086-N1086-K1086</x:f>
        <x:v>1360</x:v>
      </x:c>
      <x:c r="P1086" s="1" t="str">
        <x:f>TEXT(B1086,"yyyy-mm")</x:f>
        <x:v>2025-11</x:v>
      </x:c>
    </x:row>
    <x:row r="1087">
      <x:c r="A1087" s="1" t="str">
        <x:v>ORD-1083</x:v>
      </x:c>
      <x:c r="B1087" s="4" t="d">
        <x:v>2025-09-27T00:00:00.000Z</x:v>
      </x:c>
      <x:c r="C1087" s="1" t="str">
        <x:v>C-109</x:v>
      </x:c>
      <x:c r="D1087" s="1" t="str">
        <x:v>East</x:v>
      </x:c>
      <x:c r="E1087" s="1" t="str">
        <x:v>Home</x:v>
      </x:c>
      <x:c r="F1087" s="1" t="str">
        <x:v>Office chair</x:v>
      </x:c>
      <x:c r="G1087" s="1" t="n">
        <x:v>1</x:v>
      </x:c>
      <x:c r="H1087" s="2" t="n">
        <x:v>5500</x:v>
      </x:c>
      <x:c r="I1087" s="3" t="n">
        <x:v>0.1</x:v>
      </x:c>
      <x:c r="J1087" s="2" t="n">
        <x:v>4400</x:v>
      </x:c>
      <x:c r="K1087" s="2" t="n">
        <x:v>50</x:v>
      </x:c>
      <x:c r="L1087" s="2" t="n">
        <x:f>G1087*H1087</x:f>
        <x:v>5500</x:v>
      </x:c>
      <x:c r="M1087" s="2" t="n">
        <x:f>ROUND(L1087*(1-I1087),2)</x:f>
        <x:v>4950</x:v>
      </x:c>
      <x:c r="N1087" s="2" t="n">
        <x:f>G1087*J1087</x:f>
        <x:v>4400</x:v>
      </x:c>
      <x:c r="O1087" s="2" t="n">
        <x:f>M1087-N1087-K1087</x:f>
        <x:v>500</x:v>
      </x:c>
      <x:c r="P1087" s="1" t="str">
        <x:f>TEXT(B1087,"yyyy-mm")</x:f>
        <x:v>2025-09</x:v>
      </x:c>
    </x:row>
    <x:row r="1088">
      <x:c r="A1088" s="1" t="str">
        <x:v>ORD-1084</x:v>
      </x:c>
      <x:c r="B1088" s="4" t="d">
        <x:v>2025-10-03T00:00:00.000Z</x:v>
      </x:c>
      <x:c r="C1088" s="1" t="str">
        <x:v>C-203</x:v>
      </x:c>
      <x:c r="D1088" s="1" t="str">
        <x:v>North</x:v>
      </x:c>
      <x:c r="E1088" s="1" t="str">
        <x:v>Electronics</x:v>
      </x:c>
      <x:c r="F1088" s="1" t="str">
        <x:v>Keyboard</x:v>
      </x:c>
      <x:c r="G1088" s="1" t="n">
        <x:v>2</x:v>
      </x:c>
      <x:c r="H1088" s="2" t="n">
        <x:v>1500</x:v>
      </x:c>
      <x:c r="I1088" s="3" t="n">
        <x:v>0.1</x:v>
      </x:c>
      <x:c r="J1088" s="2" t="n">
        <x:v>900</x:v>
      </x:c>
      <x:c r="K1088" s="2" t="n">
        <x:v>120</x:v>
      </x:c>
      <x:c r="L1088" s="2" t="n">
        <x:f>G1088*H1088</x:f>
        <x:v>3000</x:v>
      </x:c>
      <x:c r="M1088" s="2" t="n">
        <x:f>ROUND(L1088*(1-I1088),2)</x:f>
        <x:v>2700</x:v>
      </x:c>
      <x:c r="N1088" s="2" t="n">
        <x:f>G1088*J1088</x:f>
        <x:v>1800</x:v>
      </x:c>
      <x:c r="O1088" s="2" t="n">
        <x:f>M1088-N1088-K1088</x:f>
        <x:v>780</x:v>
      </x:c>
      <x:c r="P1088" s="1" t="str">
        <x:f>TEXT(B1088,"yyyy-mm")</x:f>
        <x:v>2025-10</x:v>
      </x:c>
    </x:row>
    <x:row r="1089">
      <x:c r="A1089" s="1" t="str">
        <x:v>ORD-1085</x:v>
      </x:c>
      <x:c r="B1089" s="4" t="d">
        <x:v>2025-08-07T00:00:00.000Z</x:v>
      </x:c>
      <x:c r="C1089" s="1" t="str">
        <x:v>C-259</x:v>
      </x:c>
      <x:c r="D1089" s="1" t="str">
        <x:v>East</x:v>
      </x:c>
      <x:c r="E1089" s="1" t="str">
        <x:v>Fashion</x:v>
      </x:c>
      <x:c r="F1089" s="1" t="str">
        <x:v>Sneakers</x:v>
      </x:c>
      <x:c r="G1089" s="1" t="n">
        <x:v>3</x:v>
      </x:c>
      <x:c r="H1089" s="2" t="n">
        <x:v>2400</x:v>
      </x:c>
      <x:c r="I1089" s="3" t="n">
        <x:v>0.15</x:v>
      </x:c>
      <x:c r="J1089" s="2" t="n">
        <x:v>1200</x:v>
      </x:c>
      <x:c r="K1089" s="2" t="n">
        <x:v>120</x:v>
      </x:c>
      <x:c r="L1089" s="2" t="n">
        <x:f>G1089*H1089</x:f>
        <x:v>7200</x:v>
      </x:c>
      <x:c r="M1089" s="2" t="n">
        <x:f>ROUND(L1089*(1-I1089),2)</x:f>
        <x:v>6120</x:v>
      </x:c>
      <x:c r="N1089" s="2" t="n">
        <x:f>G1089*J1089</x:f>
        <x:v>3600</x:v>
      </x:c>
      <x:c r="O1089" s="2" t="n">
        <x:f>M1089-N1089-K1089</x:f>
        <x:v>2400</x:v>
      </x:c>
      <x:c r="P1089" s="1" t="str">
        <x:f>TEXT(B1089,"yyyy-mm")</x:f>
        <x:v>2025-08</x:v>
      </x:c>
    </x:row>
    <x:row r="1090">
      <x:c r="A1090" s="1" t="str">
        <x:v>ORD-1086</x:v>
      </x:c>
      <x:c r="B1090" s="4" t="d">
        <x:v>2025-04-08T00:00:00.000Z</x:v>
      </x:c>
      <x:c r="C1090" s="1" t="str">
        <x:v>C-165</x:v>
      </x:c>
      <x:c r="D1090" s="1" t="str">
        <x:v>East</x:v>
      </x:c>
      <x:c r="E1090" s="1" t="str">
        <x:v>Home</x:v>
      </x:c>
      <x:c r="F1090" s="1" t="str">
        <x:v>Desk lamp</x:v>
      </x:c>
      <x:c r="G1090" s="1" t="n">
        <x:v>2</x:v>
      </x:c>
      <x:c r="H1090" s="2" t="n">
        <x:v>1100</x:v>
      </x:c>
      <x:c r="I1090" s="3" t="n">
        <x:v>0.1</x:v>
      </x:c>
      <x:c r="J1090" s="2" t="n">
        <x:v>650</x:v>
      </x:c>
      <x:c r="K1090" s="2" t="n">
        <x:v>80</x:v>
      </x:c>
      <x:c r="L1090" s="2" t="n">
        <x:f>G1090*H1090</x:f>
        <x:v>2200</x:v>
      </x:c>
      <x:c r="M1090" s="2" t="n">
        <x:f>ROUND(L1090*(1-I1090),2)</x:f>
        <x:v>1980</x:v>
      </x:c>
      <x:c r="N1090" s="2" t="n">
        <x:f>G1090*J1090</x:f>
        <x:v>1300</x:v>
      </x:c>
      <x:c r="O1090" s="2" t="n">
        <x:f>M1090-N1090-K1090</x:f>
        <x:v>600</x:v>
      </x:c>
      <x:c r="P1090" s="1" t="str">
        <x:f>TEXT(B1090,"yyyy-mm")</x:f>
        <x:v>2025-04</x:v>
      </x:c>
    </x:row>
    <x:row r="1091">
      <x:c r="A1091" s="1" t="str">
        <x:v>ORD-1087</x:v>
      </x:c>
      <x:c r="B1091" s="4" t="d">
        <x:v>2025-12-30T00:00:00.000Z</x:v>
      </x:c>
      <x:c r="C1091" s="1" t="str">
        <x:v>C-069</x:v>
      </x:c>
      <x:c r="D1091" s="1" t="str">
        <x:v>North</x:v>
      </x:c>
      <x:c r="E1091" s="1" t="str">
        <x:v>Fashion</x:v>
      </x:c>
      <x:c r="F1091" s="1" t="str">
        <x:v>Backpack</x:v>
      </x:c>
      <x:c r="G1091" s="1" t="n">
        <x:v>4</x:v>
      </x:c>
      <x:c r="H1091" s="2" t="n">
        <x:v>1300</x:v>
      </x:c>
      <x:c r="I1091" s="3" t="n">
        <x:v>0</x:v>
      </x:c>
      <x:c r="J1091" s="2" t="n">
        <x:v>650</x:v>
      </x:c>
      <x:c r="K1091" s="2" t="n">
        <x:v>50</x:v>
      </x:c>
      <x:c r="L1091" s="2" t="n">
        <x:f>G1091*H1091</x:f>
        <x:v>5200</x:v>
      </x:c>
      <x:c r="M1091" s="2" t="n">
        <x:f>ROUND(L1091*(1-I1091),2)</x:f>
        <x:v>5200</x:v>
      </x:c>
      <x:c r="N1091" s="2" t="n">
        <x:f>G1091*J1091</x:f>
        <x:v>2600</x:v>
      </x:c>
      <x:c r="O1091" s="2" t="n">
        <x:f>M1091-N1091-K1091</x:f>
        <x:v>2550</x:v>
      </x:c>
      <x:c r="P1091" s="1" t="str">
        <x:f>TEXT(B1091,"yyyy-mm")</x:f>
        <x:v>2025-12</x:v>
      </x:c>
    </x:row>
    <x:row r="1092">
      <x:c r="A1092" s="1" t="str">
        <x:v>ORD-1088</x:v>
      </x:c>
      <x:c r="B1092" s="4" t="d">
        <x:v>2025-12-18T00:00:00.000Z</x:v>
      </x:c>
      <x:c r="C1092" s="1" t="str">
        <x:v>C-251</x:v>
      </x:c>
      <x:c r="D1092" s="1" t="str">
        <x:v>West</x:v>
      </x:c>
      <x:c r="E1092" s="1" t="str">
        <x:v>Electronics</x:v>
      </x:c>
      <x:c r="F1092" s="1" t="str">
        <x:v>Smartwatch</x:v>
      </x:c>
      <x:c r="G1092" s="1" t="n">
        <x:v>1</x:v>
      </x:c>
      <x:c r="H1092" s="2" t="n">
        <x:v>4200</x:v>
      </x:c>
      <x:c r="I1092" s="3" t="n">
        <x:v>0.15</x:v>
      </x:c>
      <x:c r="J1092" s="2" t="n">
        <x:v>3000</x:v>
      </x:c>
      <x:c r="K1092" s="2" t="n">
        <x:v>120</x:v>
      </x:c>
      <x:c r="L1092" s="2" t="n">
        <x:f>G1092*H1092</x:f>
        <x:v>4200</x:v>
      </x:c>
      <x:c r="M1092" s="2" t="n">
        <x:f>ROUND(L1092*(1-I1092),2)</x:f>
        <x:v>3570</x:v>
      </x:c>
      <x:c r="N1092" s="2" t="n">
        <x:f>G1092*J1092</x:f>
        <x:v>3000</x:v>
      </x:c>
      <x:c r="O1092" s="2" t="n">
        <x:f>M1092-N1092-K1092</x:f>
        <x:v>450</x:v>
      </x:c>
      <x:c r="P1092" s="1" t="str">
        <x:f>TEXT(B1092,"yyyy-mm")</x:f>
        <x:v>2025-12</x:v>
      </x:c>
    </x:row>
    <x:row r="1093">
      <x:c r="A1093" s="1" t="str">
        <x:v>ORD-1089</x:v>
      </x:c>
      <x:c r="B1093" s="4" t="d">
        <x:v>2025-09-29T00:00:00.000Z</x:v>
      </x:c>
      <x:c r="C1093" s="1" t="str">
        <x:v>C-228</x:v>
      </x:c>
      <x:c r="D1093" s="1" t="str">
        <x:v>North</x:v>
      </x:c>
      <x:c r="E1093" s="1" t="str">
        <x:v>Home</x:v>
      </x:c>
      <x:c r="F1093" s="1" t="str">
        <x:v>Storage box</x:v>
      </x:c>
      <x:c r="G1093" s="1" t="n">
        <x:v>3</x:v>
      </x:c>
      <x:c r="H1093" s="2" t="n">
        <x:v>800</x:v>
      </x:c>
      <x:c r="I1093" s="3" t="n">
        <x:v>0</x:v>
      </x:c>
      <x:c r="J1093" s="2" t="n">
        <x:v>420</x:v>
      </x:c>
      <x:c r="K1093" s="2" t="n">
        <x:v>80</x:v>
      </x:c>
      <x:c r="L1093" s="2" t="n">
        <x:f>G1093*H1093</x:f>
        <x:v>2400</x:v>
      </x:c>
      <x:c r="M1093" s="2" t="n">
        <x:f>ROUND(L1093*(1-I1093),2)</x:f>
        <x:v>2400</x:v>
      </x:c>
      <x:c r="N1093" s="2" t="n">
        <x:f>G1093*J1093</x:f>
        <x:v>1260</x:v>
      </x:c>
      <x:c r="O1093" s="2" t="n">
        <x:f>M1093-N1093-K1093</x:f>
        <x:v>1060</x:v>
      </x:c>
      <x:c r="P1093" s="1" t="str">
        <x:f>TEXT(B1093,"yyyy-mm")</x:f>
        <x:v>2025-09</x:v>
      </x:c>
    </x:row>
    <x:row r="1094">
      <x:c r="A1094" s="1" t="str">
        <x:v>ORD-1090</x:v>
      </x:c>
      <x:c r="B1094" s="4" t="d">
        <x:v>2025-11-06T00:00:00.000Z</x:v>
      </x:c>
      <x:c r="C1094" s="1" t="str">
        <x:v>C-005</x:v>
      </x:c>
      <x:c r="D1094" s="1" t="str">
        <x:v>North</x:v>
      </x:c>
      <x:c r="E1094" s="1" t="str">
        <x:v>Fashion</x:v>
      </x:c>
      <x:c r="F1094" s="1" t="str">
        <x:v>Backpack</x:v>
      </x:c>
      <x:c r="G1094" s="1" t="n">
        <x:v>4</x:v>
      </x:c>
      <x:c r="H1094" s="2" t="n">
        <x:v>1300</x:v>
      </x:c>
      <x:c r="I1094" s="3" t="n">
        <x:v>0.15</x:v>
      </x:c>
      <x:c r="J1094" s="2" t="n">
        <x:v>650</x:v>
      </x:c>
      <x:c r="K1094" s="2" t="n">
        <x:v>80</x:v>
      </x:c>
      <x:c r="L1094" s="2" t="n">
        <x:f>G1094*H1094</x:f>
        <x:v>5200</x:v>
      </x:c>
      <x:c r="M1094" s="2" t="n">
        <x:f>ROUND(L1094*(1-I1094),2)</x:f>
        <x:v>4420</x:v>
      </x:c>
      <x:c r="N1094" s="2" t="n">
        <x:f>G1094*J1094</x:f>
        <x:v>2600</x:v>
      </x:c>
      <x:c r="O1094" s="2" t="n">
        <x:f>M1094-N1094-K1094</x:f>
        <x:v>1740</x:v>
      </x:c>
      <x:c r="P1094" s="1" t="str">
        <x:f>TEXT(B1094,"yyyy-mm")</x:f>
        <x:v>2025-11</x:v>
      </x:c>
    </x:row>
    <x:row r="1095">
      <x:c r="A1095" s="1" t="str">
        <x:v>ORD-1091</x:v>
      </x:c>
      <x:c r="B1095" s="4" t="d">
        <x:v>2025-12-08T00:00:00.000Z</x:v>
      </x:c>
      <x:c r="C1095" s="1" t="str">
        <x:v>C-011</x:v>
      </x:c>
      <x:c r="D1095" s="1" t="str">
        <x:v>East</x:v>
      </x:c>
      <x:c r="E1095" s="1" t="str">
        <x:v>Home</x:v>
      </x:c>
      <x:c r="F1095" s="1" t="str">
        <x:v>Desk lamp</x:v>
      </x:c>
      <x:c r="G1095" s="1" t="n">
        <x:v>3</x:v>
      </x:c>
      <x:c r="H1095" s="2" t="n">
        <x:v>1100</x:v>
      </x:c>
      <x:c r="I1095" s="3" t="n">
        <x:v>0</x:v>
      </x:c>
      <x:c r="J1095" s="2" t="n">
        <x:v>650</x:v>
      </x:c>
      <x:c r="K1095" s="2" t="n">
        <x:v>50</x:v>
      </x:c>
      <x:c r="L1095" s="2" t="n">
        <x:f>G1095*H1095</x:f>
        <x:v>3300</x:v>
      </x:c>
      <x:c r="M1095" s="2" t="n">
        <x:f>ROUND(L1095*(1-I1095),2)</x:f>
        <x:v>3300</x:v>
      </x:c>
      <x:c r="N1095" s="2" t="n">
        <x:f>G1095*J1095</x:f>
        <x:v>1950</x:v>
      </x:c>
      <x:c r="O1095" s="2" t="n">
        <x:f>M1095-N1095-K1095</x:f>
        <x:v>1300</x:v>
      </x:c>
      <x:c r="P1095" s="1" t="str">
        <x:f>TEXT(B1095,"yyyy-mm")</x:f>
        <x:v>2025-12</x:v>
      </x:c>
    </x:row>
    <x:row r="1096">
      <x:c r="A1096" s="1" t="str">
        <x:v>ORD-1092</x:v>
      </x:c>
      <x:c r="B1096" s="4" t="d">
        <x:v>2025-02-08T00:00:00.000Z</x:v>
      </x:c>
      <x:c r="C1096" s="1" t="str">
        <x:v>C-120</x:v>
      </x:c>
      <x:c r="D1096" s="1" t="str">
        <x:v>West</x:v>
      </x:c>
      <x:c r="E1096" s="1" t="str">
        <x:v>Fashion</x:v>
      </x:c>
      <x:c r="F1096" s="1" t="str">
        <x:v>Sneakers</x:v>
      </x:c>
      <x:c r="G1096" s="1" t="n">
        <x:v>3</x:v>
      </x:c>
      <x:c r="H1096" s="2" t="n">
        <x:v>2400</x:v>
      </x:c>
      <x:c r="I1096" s="3" t="n">
        <x:v>0.35</x:v>
      </x:c>
      <x:c r="J1096" s="2" t="n">
        <x:v>1200</x:v>
      </x:c>
      <x:c r="K1096" s="2" t="n">
        <x:v>50</x:v>
      </x:c>
      <x:c r="L1096" s="2" t="n">
        <x:f>G1096*H1096</x:f>
        <x:v>7200</x:v>
      </x:c>
      <x:c r="M1096" s="2" t="n">
        <x:f>ROUND(L1096*(1-I1096),2)</x:f>
        <x:v>4680</x:v>
      </x:c>
      <x:c r="N1096" s="2" t="n">
        <x:f>G1096*J1096</x:f>
        <x:v>3600</x:v>
      </x:c>
      <x:c r="O1096" s="2" t="n">
        <x:f>M1096-N1096-K1096</x:f>
        <x:v>1030</x:v>
      </x:c>
      <x:c r="P1096" s="1" t="str">
        <x:f>TEXT(B1096,"yyyy-mm")</x:f>
        <x:v>2025-02</x:v>
      </x:c>
    </x:row>
    <x:row r="1097">
      <x:c r="A1097" s="1" t="str">
        <x:v>ORD-1093</x:v>
      </x:c>
      <x:c r="B1097" s="4" t="d">
        <x:v>2025-05-07T00:00:00.000Z</x:v>
      </x:c>
      <x:c r="C1097" s="1" t="str">
        <x:v>C-203</x:v>
      </x:c>
      <x:c r="D1097" s="1" t="str">
        <x:v>North</x:v>
      </x:c>
      <x:c r="E1097" s="1" t="str">
        <x:v>Fashion</x:v>
      </x:c>
      <x:c r="F1097" s="1" t="str">
        <x:v>T-shirt</x:v>
      </x:c>
      <x:c r="G1097" s="1" t="n">
        <x:v>3</x:v>
      </x:c>
      <x:c r="H1097" s="2" t="n">
        <x:v>700</x:v>
      </x:c>
      <x:c r="I1097" s="3" t="n">
        <x:v>0</x:v>
      </x:c>
      <x:c r="J1097" s="2" t="n">
        <x:v>300</x:v>
      </x:c>
      <x:c r="K1097" s="2" t="n">
        <x:v>120</x:v>
      </x:c>
      <x:c r="L1097" s="2" t="n">
        <x:f>G1097*H1097</x:f>
        <x:v>2100</x:v>
      </x:c>
      <x:c r="M1097" s="2" t="n">
        <x:f>ROUND(L1097*(1-I1097),2)</x:f>
        <x:v>2100</x:v>
      </x:c>
      <x:c r="N1097" s="2" t="n">
        <x:f>G1097*J1097</x:f>
        <x:v>900</x:v>
      </x:c>
      <x:c r="O1097" s="2" t="n">
        <x:f>M1097-N1097-K1097</x:f>
        <x:v>1080</x:v>
      </x:c>
      <x:c r="P1097" s="1" t="str">
        <x:f>TEXT(B1097,"yyyy-mm")</x:f>
        <x:v>2025-05</x:v>
      </x:c>
    </x:row>
    <x:row r="1098">
      <x:c r="A1098" s="1" t="str">
        <x:v>ORD-1094</x:v>
      </x:c>
      <x:c r="B1098" s="4" t="d">
        <x:v>2025-08-07T00:00:00.000Z</x:v>
      </x:c>
      <x:c r="C1098" s="1" t="str">
        <x:v>C-290</x:v>
      </x:c>
      <x:c r="D1098" s="1" t="str">
        <x:v>South</x:v>
      </x:c>
      <x:c r="E1098" s="1" t="str">
        <x:v>Electronics</x:v>
      </x:c>
      <x:c r="F1098" s="1" t="str">
        <x:v>Smartwatch</x:v>
      </x:c>
      <x:c r="G1098" s="1" t="n">
        <x:v>1</x:v>
      </x:c>
      <x:c r="H1098" s="2" t="n">
        <x:v>4200</x:v>
      </x:c>
      <x:c r="I1098" s="3" t="n">
        <x:v>0.25</x:v>
      </x:c>
      <x:c r="J1098" s="2" t="n">
        <x:v>3000</x:v>
      </x:c>
      <x:c r="K1098" s="2" t="n">
        <x:v>120</x:v>
      </x:c>
      <x:c r="L1098" s="2" t="n">
        <x:f>G1098*H1098</x:f>
        <x:v>4200</x:v>
      </x:c>
      <x:c r="M1098" s="2" t="n">
        <x:f>ROUND(L1098*(1-I1098),2)</x:f>
        <x:v>3150</x:v>
      </x:c>
      <x:c r="N1098" s="2" t="n">
        <x:f>G1098*J1098</x:f>
        <x:v>3000</x:v>
      </x:c>
      <x:c r="O1098" s="2" t="n">
        <x:f>M1098-N1098-K1098</x:f>
        <x:v>30</x:v>
      </x:c>
      <x:c r="P1098" s="1" t="str">
        <x:f>TEXT(B1098,"yyyy-mm")</x:f>
        <x:v>2025-08</x:v>
      </x:c>
    </x:row>
    <x:row r="1099">
      <x:c r="A1099" s="1" t="str">
        <x:v>ORD-1095</x:v>
      </x:c>
      <x:c r="B1099" s="4" t="d">
        <x:v>2025-03-09T00:00:00.000Z</x:v>
      </x:c>
      <x:c r="C1099" s="1" t="str">
        <x:v>C-292</x:v>
      </x:c>
      <x:c r="D1099" s="1" t="str">
        <x:v>South</x:v>
      </x:c>
      <x:c r="E1099" s="1" t="str">
        <x:v>Electronics</x:v>
      </x:c>
      <x:c r="F1099" s="1" t="str">
        <x:v>Keyboard</x:v>
      </x:c>
      <x:c r="G1099" s="1" t="n">
        <x:v>3</x:v>
      </x:c>
      <x:c r="H1099" s="2" t="n">
        <x:v>1500</x:v>
      </x:c>
      <x:c r="I1099" s="3" t="n">
        <x:v>0.05</x:v>
      </x:c>
      <x:c r="J1099" s="2" t="n">
        <x:v>900</x:v>
      </x:c>
      <x:c r="K1099" s="2" t="n">
        <x:v>50</x:v>
      </x:c>
      <x:c r="L1099" s="2" t="n">
        <x:f>G1099*H1099</x:f>
        <x:v>4500</x:v>
      </x:c>
      <x:c r="M1099" s="2" t="n">
        <x:f>ROUND(L1099*(1-I1099),2)</x:f>
        <x:v>4275</x:v>
      </x:c>
      <x:c r="N1099" s="2" t="n">
        <x:f>G1099*J1099</x:f>
        <x:v>2700</x:v>
      </x:c>
      <x:c r="O1099" s="2" t="n">
        <x:f>M1099-N1099-K1099</x:f>
        <x:v>1525</x:v>
      </x:c>
      <x:c r="P1099" s="1" t="str">
        <x:f>TEXT(B1099,"yyyy-mm")</x:f>
        <x:v>2025-03</x:v>
      </x:c>
    </x:row>
    <x:row r="1100">
      <x:c r="A1100" s="1" t="str">
        <x:v>ORD-1096</x:v>
      </x:c>
      <x:c r="B1100" s="4" t="d">
        <x:v>2025-11-22T00:00:00.000Z</x:v>
      </x:c>
      <x:c r="C1100" s="1" t="str">
        <x:v>C-273</x:v>
      </x:c>
      <x:c r="D1100" s="1" t="str">
        <x:v>East</x:v>
      </x:c>
      <x:c r="E1100" s="1" t="str">
        <x:v>Electronics</x:v>
      </x:c>
      <x:c r="F1100" s="1" t="str">
        <x:v>Headphones</x:v>
      </x:c>
      <x:c r="G1100" s="1" t="n">
        <x:v>4</x:v>
      </x:c>
      <x:c r="H1100" s="2" t="n">
        <x:v>2200</x:v>
      </x:c>
      <x:c r="I1100" s="3" t="n">
        <x:v>0.35</x:v>
      </x:c>
      <x:c r="J1100" s="2" t="n">
        <x:v>1450</x:v>
      </x:c>
      <x:c r="K1100" s="2" t="n">
        <x:v>50</x:v>
      </x:c>
      <x:c r="L1100" s="2" t="n">
        <x:f>G1100*H1100</x:f>
        <x:v>8800</x:v>
      </x:c>
      <x:c r="M1100" s="2" t="n">
        <x:f>ROUND(L1100*(1-I1100),2)</x:f>
        <x:v>5720</x:v>
      </x:c>
      <x:c r="N1100" s="2" t="n">
        <x:f>G1100*J1100</x:f>
        <x:v>5800</x:v>
      </x:c>
      <x:c r="O1100" s="2" t="n">
        <x:f>M1100-N1100-K1100</x:f>
        <x:v>-130</x:v>
      </x:c>
      <x:c r="P1100" s="1" t="str">
        <x:f>TEXT(B1100,"yyyy-mm")</x:f>
        <x:v>2025-11</x:v>
      </x:c>
    </x:row>
    <x:row r="1101">
      <x:c r="A1101" s="1" t="str">
        <x:v>ORD-1097</x:v>
      </x:c>
      <x:c r="B1101" s="4" t="d">
        <x:v>2025-12-14T00:00:00.000Z</x:v>
      </x:c>
      <x:c r="C1101" s="1" t="str">
        <x:v>C-209</x:v>
      </x:c>
      <x:c r="D1101" s="1" t="str">
        <x:v>East</x:v>
      </x:c>
      <x:c r="E1101" s="1" t="str">
        <x:v>Electronics</x:v>
      </x:c>
      <x:c r="F1101" s="1" t="str">
        <x:v>Headphones</x:v>
      </x:c>
      <x:c r="G1101" s="1" t="n">
        <x:v>1</x:v>
      </x:c>
      <x:c r="H1101" s="2" t="n">
        <x:v>2200</x:v>
      </x:c>
      <x:c r="I1101" s="3" t="n">
        <x:v>0.1</x:v>
      </x:c>
      <x:c r="J1101" s="2" t="n">
        <x:v>1450</x:v>
      </x:c>
      <x:c r="K1101" s="2" t="n">
        <x:v>120</x:v>
      </x:c>
      <x:c r="L1101" s="2" t="n">
        <x:f>G1101*H1101</x:f>
        <x:v>2200</x:v>
      </x:c>
      <x:c r="M1101" s="2" t="n">
        <x:f>ROUND(L1101*(1-I1101),2)</x:f>
        <x:v>1980</x:v>
      </x:c>
      <x:c r="N1101" s="2" t="n">
        <x:f>G1101*J1101</x:f>
        <x:v>1450</x:v>
      </x:c>
      <x:c r="O1101" s="2" t="n">
        <x:f>M1101-N1101-K1101</x:f>
        <x:v>410</x:v>
      </x:c>
      <x:c r="P1101" s="1" t="str">
        <x:f>TEXT(B1101,"yyyy-mm")</x:f>
        <x:v>2025-12</x:v>
      </x:c>
    </x:row>
    <x:row r="1102">
      <x:c r="A1102" s="1" t="str">
        <x:v>ORD-1098</x:v>
      </x:c>
      <x:c r="B1102" s="4" t="d">
        <x:v>2025-08-17T00:00:00.000Z</x:v>
      </x:c>
      <x:c r="C1102" s="1" t="str">
        <x:v>C-023</x:v>
      </x:c>
      <x:c r="D1102" s="1" t="str">
        <x:v>South</x:v>
      </x:c>
      <x:c r="E1102" s="1" t="str">
        <x:v>Home</x:v>
      </x:c>
      <x:c r="F1102" s="1" t="str">
        <x:v>Desk lamp</x:v>
      </x:c>
      <x:c r="G1102" s="1" t="n">
        <x:v>1</x:v>
      </x:c>
      <x:c r="H1102" s="2" t="n">
        <x:v>1100</x:v>
      </x:c>
      <x:c r="I1102" s="3" t="n">
        <x:v>0.1</x:v>
      </x:c>
      <x:c r="J1102" s="2" t="n">
        <x:v>650</x:v>
      </x:c>
      <x:c r="K1102" s="2" t="n">
        <x:v>80</x:v>
      </x:c>
      <x:c r="L1102" s="2" t="n">
        <x:f>G1102*H1102</x:f>
        <x:v>1100</x:v>
      </x:c>
      <x:c r="M1102" s="2" t="n">
        <x:f>ROUND(L1102*(1-I1102),2)</x:f>
        <x:v>990</x:v>
      </x:c>
      <x:c r="N1102" s="2" t="n">
        <x:f>G1102*J1102</x:f>
        <x:v>650</x:v>
      </x:c>
      <x:c r="O1102" s="2" t="n">
        <x:f>M1102-N1102-K1102</x:f>
        <x:v>260</x:v>
      </x:c>
      <x:c r="P1102" s="1" t="str">
        <x:f>TEXT(B1102,"yyyy-mm")</x:f>
        <x:v>2025-08</x:v>
      </x:c>
    </x:row>
    <x:row r="1103">
      <x:c r="A1103" s="1" t="str">
        <x:v>ORD-1099</x:v>
      </x:c>
      <x:c r="B1103" s="4" t="d">
        <x:v>2025-12-11T00:00:00.000Z</x:v>
      </x:c>
      <x:c r="C1103" s="1" t="str">
        <x:v>C-003</x:v>
      </x:c>
      <x:c r="D1103" s="1" t="str">
        <x:v>West</x:v>
      </x:c>
      <x:c r="E1103" s="1" t="str">
        <x:v>Home</x:v>
      </x:c>
      <x:c r="F1103" s="1" t="str">
        <x:v>Storage box</x:v>
      </x:c>
      <x:c r="G1103" s="1" t="n">
        <x:v>2</x:v>
      </x:c>
      <x:c r="H1103" s="2" t="n">
        <x:v>800</x:v>
      </x:c>
      <x:c r="I1103" s="3" t="n">
        <x:v>0.15</x:v>
      </x:c>
      <x:c r="J1103" s="2" t="n">
        <x:v>420</x:v>
      </x:c>
      <x:c r="K1103" s="2" t="n">
        <x:v>80</x:v>
      </x:c>
      <x:c r="L1103" s="2" t="n">
        <x:f>G1103*H1103</x:f>
        <x:v>1600</x:v>
      </x:c>
      <x:c r="M1103" s="2" t="n">
        <x:f>ROUND(L1103*(1-I1103),2)</x:f>
        <x:v>1360</x:v>
      </x:c>
      <x:c r="N1103" s="2" t="n">
        <x:f>G1103*J1103</x:f>
        <x:v>840</x:v>
      </x:c>
      <x:c r="O1103" s="2" t="n">
        <x:f>M1103-N1103-K1103</x:f>
        <x:v>440</x:v>
      </x:c>
      <x:c r="P1103" s="1" t="str">
        <x:f>TEXT(B1103,"yyyy-mm")</x:f>
        <x:v>2025-12</x:v>
      </x:c>
    </x:row>
    <x:row r="1104">
      <x:c r="A1104" s="1" t="str">
        <x:v>ORD-1100</x:v>
      </x:c>
      <x:c r="B1104" s="4" t="d">
        <x:v>2025-02-08T00:00:00.000Z</x:v>
      </x:c>
      <x:c r="C1104" s="1" t="str">
        <x:v>C-217</x:v>
      </x:c>
      <x:c r="D1104" s="1" t="str">
        <x:v>North</x:v>
      </x:c>
      <x:c r="E1104" s="1" t="str">
        <x:v>Electronics</x:v>
      </x:c>
      <x:c r="F1104" s="1" t="str">
        <x:v>Headphones</x:v>
      </x:c>
      <x:c r="G1104" s="1" t="n">
        <x:v>2</x:v>
      </x:c>
      <x:c r="H1104" s="2" t="n">
        <x:v>2200</x:v>
      </x:c>
      <x:c r="I1104" s="3" t="n">
        <x:v>0.35</x:v>
      </x:c>
      <x:c r="J1104" s="2" t="n">
        <x:v>1450</x:v>
      </x:c>
      <x:c r="K1104" s="2" t="n">
        <x:v>50</x:v>
      </x:c>
      <x:c r="L1104" s="2" t="n">
        <x:f>G1104*H1104</x:f>
        <x:v>4400</x:v>
      </x:c>
      <x:c r="M1104" s="2" t="n">
        <x:f>ROUND(L1104*(1-I1104),2)</x:f>
        <x:v>2860</x:v>
      </x:c>
      <x:c r="N1104" s="2" t="n">
        <x:f>G1104*J1104</x:f>
        <x:v>2900</x:v>
      </x:c>
      <x:c r="O1104" s="2" t="n">
        <x:f>M1104-N1104-K1104</x:f>
        <x:v>-90</x:v>
      </x:c>
      <x:c r="P1104" s="1" t="str">
        <x:f>TEXT(B1104,"yyyy-mm")</x:f>
        <x:v>2025-02</x:v>
      </x:c>
    </x:row>
    <x:row r="1105">
      <x:c r="A1105" s="1" t="str">
        <x:v>ORD-1101</x:v>
      </x:c>
      <x:c r="B1105" s="4" t="d">
        <x:v>2025-03-21T00:00:00.000Z</x:v>
      </x:c>
      <x:c r="C1105" s="1" t="str">
        <x:v>C-050</x:v>
      </x:c>
      <x:c r="D1105" s="1" t="str">
        <x:v>North</x:v>
      </x:c>
      <x:c r="E1105" s="1" t="str">
        <x:v>Fashion</x:v>
      </x:c>
      <x:c r="F1105" s="1" t="str">
        <x:v>Sneakers</x:v>
      </x:c>
      <x:c r="G1105" s="1" t="n">
        <x:v>4</x:v>
      </x:c>
      <x:c r="H1105" s="2" t="n">
        <x:v>2400</x:v>
      </x:c>
      <x:c r="I1105" s="3" t="n">
        <x:v>0</x:v>
      </x:c>
      <x:c r="J1105" s="2" t="n">
        <x:v>1200</x:v>
      </x:c>
      <x:c r="K1105" s="2" t="n">
        <x:v>80</x:v>
      </x:c>
      <x:c r="L1105" s="2" t="n">
        <x:f>G1105*H1105</x:f>
        <x:v>9600</x:v>
      </x:c>
      <x:c r="M1105" s="2" t="n">
        <x:f>ROUND(L1105*(1-I1105),2)</x:f>
        <x:v>9600</x:v>
      </x:c>
      <x:c r="N1105" s="2" t="n">
        <x:f>G1105*J1105</x:f>
        <x:v>4800</x:v>
      </x:c>
      <x:c r="O1105" s="2" t="n">
        <x:f>M1105-N1105-K1105</x:f>
        <x:v>4720</x:v>
      </x:c>
      <x:c r="P1105" s="1" t="str">
        <x:f>TEXT(B1105,"yyyy-mm")</x:f>
        <x:v>2025-03</x:v>
      </x:c>
    </x:row>
    <x:row r="1106">
      <x:c r="A1106" s="1" t="str">
        <x:v>ORD-1102</x:v>
      </x:c>
      <x:c r="B1106" s="4" t="d">
        <x:v>2025-11-08T00:00:00.000Z</x:v>
      </x:c>
      <x:c r="C1106" s="1" t="str">
        <x:v>C-056</x:v>
      </x:c>
      <x:c r="D1106" s="1" t="str">
        <x:v>West</x:v>
      </x:c>
      <x:c r="E1106" s="1" t="str">
        <x:v>Fashion</x:v>
      </x:c>
      <x:c r="F1106" s="1" t="str">
        <x:v>Backpack</x:v>
      </x:c>
      <x:c r="G1106" s="1" t="n">
        <x:v>2</x:v>
      </x:c>
      <x:c r="H1106" s="2" t="n">
        <x:v>1300</x:v>
      </x:c>
      <x:c r="I1106" s="3" t="n">
        <x:v>0.1</x:v>
      </x:c>
      <x:c r="J1106" s="2" t="n">
        <x:v>650</x:v>
      </x:c>
      <x:c r="K1106" s="2" t="n">
        <x:v>80</x:v>
      </x:c>
      <x:c r="L1106" s="2" t="n">
        <x:f>G1106*H1106</x:f>
        <x:v>2600</x:v>
      </x:c>
      <x:c r="M1106" s="2" t="n">
        <x:f>ROUND(L1106*(1-I1106),2)</x:f>
        <x:v>2340</x:v>
      </x:c>
      <x:c r="N1106" s="2" t="n">
        <x:f>G1106*J1106</x:f>
        <x:v>1300</x:v>
      </x:c>
      <x:c r="O1106" s="2" t="n">
        <x:f>M1106-N1106-K1106</x:f>
        <x:v>960</x:v>
      </x:c>
      <x:c r="P1106" s="1" t="str">
        <x:f>TEXT(B1106,"yyyy-mm")</x:f>
        <x:v>2025-11</x:v>
      </x:c>
    </x:row>
    <x:row r="1107">
      <x:c r="A1107" s="1" t="str">
        <x:v>ORD-1103</x:v>
      </x:c>
      <x:c r="B1107" s="4" t="d">
        <x:v>2025-11-26T00:00:00.000Z</x:v>
      </x:c>
      <x:c r="C1107" s="1" t="str">
        <x:v>C-122</x:v>
      </x:c>
      <x:c r="D1107" s="1" t="str">
        <x:v>North</x:v>
      </x:c>
      <x:c r="E1107" s="1" t="str">
        <x:v>Fashion</x:v>
      </x:c>
      <x:c r="F1107" s="1" t="str">
        <x:v>Backpack</x:v>
      </x:c>
      <x:c r="G1107" s="1" t="n">
        <x:v>4</x:v>
      </x:c>
      <x:c r="H1107" s="2" t="n">
        <x:v>1300</x:v>
      </x:c>
      <x:c r="I1107" s="3" t="n">
        <x:v>0.25</x:v>
      </x:c>
      <x:c r="J1107" s="2" t="n">
        <x:v>650</x:v>
      </x:c>
      <x:c r="K1107" s="2" t="n">
        <x:v>50</x:v>
      </x:c>
      <x:c r="L1107" s="2" t="n">
        <x:f>G1107*H1107</x:f>
        <x:v>5200</x:v>
      </x:c>
      <x:c r="M1107" s="2" t="n">
        <x:f>ROUND(L1107*(1-I1107),2)</x:f>
        <x:v>3900</x:v>
      </x:c>
      <x:c r="N1107" s="2" t="n">
        <x:f>G1107*J1107</x:f>
        <x:v>2600</x:v>
      </x:c>
      <x:c r="O1107" s="2" t="n">
        <x:f>M1107-N1107-K1107</x:f>
        <x:v>1250</x:v>
      </x:c>
      <x:c r="P1107" s="1" t="str">
        <x:f>TEXT(B1107,"yyyy-mm")</x:f>
        <x:v>2025-11</x:v>
      </x:c>
    </x:row>
    <x:row r="1108">
      <x:c r="A1108" s="1" t="str">
        <x:v>ORD-1104</x:v>
      </x:c>
      <x:c r="B1108" s="4" t="d">
        <x:v>2025-09-02T00:00:00.000Z</x:v>
      </x:c>
      <x:c r="C1108" s="1" t="str">
        <x:v>C-018</x:v>
      </x:c>
      <x:c r="D1108" s="1" t="str">
        <x:v>West</x:v>
      </x:c>
      <x:c r="E1108" s="1" t="str">
        <x:v>Electronics</x:v>
      </x:c>
      <x:c r="F1108" s="1" t="str">
        <x:v>Keyboard</x:v>
      </x:c>
      <x:c r="G1108" s="1" t="n">
        <x:v>3</x:v>
      </x:c>
      <x:c r="H1108" s="2" t="n">
        <x:v>1500</x:v>
      </x:c>
      <x:c r="I1108" s="3" t="n">
        <x:v>0</x:v>
      </x:c>
      <x:c r="J1108" s="2" t="n">
        <x:v>900</x:v>
      </x:c>
      <x:c r="K1108" s="2" t="n">
        <x:v>120</x:v>
      </x:c>
      <x:c r="L1108" s="2" t="n">
        <x:f>G1108*H1108</x:f>
        <x:v>4500</x:v>
      </x:c>
      <x:c r="M1108" s="2" t="n">
        <x:f>ROUND(L1108*(1-I1108),2)</x:f>
        <x:v>4500</x:v>
      </x:c>
      <x:c r="N1108" s="2" t="n">
        <x:f>G1108*J1108</x:f>
        <x:v>2700</x:v>
      </x:c>
      <x:c r="O1108" s="2" t="n">
        <x:f>M1108-N1108-K1108</x:f>
        <x:v>1680</x:v>
      </x:c>
      <x:c r="P1108" s="1" t="str">
        <x:f>TEXT(B1108,"yyyy-mm")</x:f>
        <x:v>2025-09</x:v>
      </x:c>
    </x:row>
    <x:row r="1109">
      <x:c r="A1109" s="1" t="str">
        <x:v>ORD-1105</x:v>
      </x:c>
      <x:c r="B1109" s="4" t="d">
        <x:v>2025-02-26T00:00:00.000Z</x:v>
      </x:c>
      <x:c r="C1109" s="1" t="str">
        <x:v>C-227</x:v>
      </x:c>
      <x:c r="D1109" s="1" t="str">
        <x:v>North</x:v>
      </x:c>
      <x:c r="E1109" s="1" t="str">
        <x:v>Electronics</x:v>
      </x:c>
      <x:c r="F1109" s="1" t="str">
        <x:v>Smartwatch</x:v>
      </x:c>
      <x:c r="G1109" s="1" t="n">
        <x:v>3</x:v>
      </x:c>
      <x:c r="H1109" s="2" t="n">
        <x:v>4200</x:v>
      </x:c>
      <x:c r="I1109" s="3" t="n">
        <x:v>0</x:v>
      </x:c>
      <x:c r="J1109" s="2" t="n">
        <x:v>3000</x:v>
      </x:c>
      <x:c r="K1109" s="2" t="n">
        <x:v>120</x:v>
      </x:c>
      <x:c r="L1109" s="2" t="n">
        <x:f>G1109*H1109</x:f>
        <x:v>12600</x:v>
      </x:c>
      <x:c r="M1109" s="2" t="n">
        <x:f>ROUND(L1109*(1-I1109),2)</x:f>
        <x:v>12600</x:v>
      </x:c>
      <x:c r="N1109" s="2" t="n">
        <x:f>G1109*J1109</x:f>
        <x:v>9000</x:v>
      </x:c>
      <x:c r="O1109" s="2" t="n">
        <x:f>M1109-N1109-K1109</x:f>
        <x:v>3480</x:v>
      </x:c>
      <x:c r="P1109" s="1" t="str">
        <x:f>TEXT(B1109,"yyyy-mm")</x:f>
        <x:v>2025-02</x:v>
      </x:c>
    </x:row>
    <x:row r="1110">
      <x:c r="A1110" s="1" t="str">
        <x:v>ORD-1106</x:v>
      </x:c>
      <x:c r="B1110" s="4" t="d">
        <x:v>2025-09-22T00:00:00.000Z</x:v>
      </x:c>
      <x:c r="C1110" s="1" t="str">
        <x:v>C-029</x:v>
      </x:c>
      <x:c r="D1110" s="1" t="str">
        <x:v>North</x:v>
      </x:c>
      <x:c r="E1110" s="1" t="str">
        <x:v>Electronics</x:v>
      </x:c>
      <x:c r="F1110" s="1" t="str">
        <x:v>Keyboard</x:v>
      </x:c>
      <x:c r="G1110" s="1" t="n">
        <x:v>3</x:v>
      </x:c>
      <x:c r="H1110" s="2" t="n">
        <x:v>1500</x:v>
      </x:c>
      <x:c r="I1110" s="3" t="n">
        <x:v>0</x:v>
      </x:c>
      <x:c r="J1110" s="2" t="n">
        <x:v>900</x:v>
      </x:c>
      <x:c r="K1110" s="2" t="n">
        <x:v>80</x:v>
      </x:c>
      <x:c r="L1110" s="2" t="n">
        <x:f>G1110*H1110</x:f>
        <x:v>4500</x:v>
      </x:c>
      <x:c r="M1110" s="2" t="n">
        <x:f>ROUND(L1110*(1-I1110),2)</x:f>
        <x:v>4500</x:v>
      </x:c>
      <x:c r="N1110" s="2" t="n">
        <x:f>G1110*J1110</x:f>
        <x:v>2700</x:v>
      </x:c>
      <x:c r="O1110" s="2" t="n">
        <x:f>M1110-N1110-K1110</x:f>
        <x:v>1720</x:v>
      </x:c>
      <x:c r="P1110" s="1" t="str">
        <x:f>TEXT(B1110,"yyyy-mm")</x:f>
        <x:v>2025-09</x:v>
      </x:c>
    </x:row>
    <x:row r="1111">
      <x:c r="A1111" s="1" t="str">
        <x:v>ORD-1107</x:v>
      </x:c>
      <x:c r="B1111" s="4" t="d">
        <x:v>2025-06-28T00:00:00.000Z</x:v>
      </x:c>
      <x:c r="C1111" s="1" t="str">
        <x:v>C-006</x:v>
      </x:c>
      <x:c r="D1111" s="1" t="str">
        <x:v>West</x:v>
      </x:c>
      <x:c r="E1111" s="1" t="str">
        <x:v>Home</x:v>
      </x:c>
      <x:c r="F1111" s="1" t="str">
        <x:v>Office chair</x:v>
      </x:c>
      <x:c r="G1111" s="1" t="n">
        <x:v>4</x:v>
      </x:c>
      <x:c r="H1111" s="2" t="n">
        <x:v>5500</x:v>
      </x:c>
      <x:c r="I1111" s="3" t="n">
        <x:v>0.05</x:v>
      </x:c>
      <x:c r="J1111" s="2" t="n">
        <x:v>4400</x:v>
      </x:c>
      <x:c r="K1111" s="2" t="n">
        <x:v>80</x:v>
      </x:c>
      <x:c r="L1111" s="2" t="n">
        <x:f>G1111*H1111</x:f>
        <x:v>22000</x:v>
      </x:c>
      <x:c r="M1111" s="2" t="n">
        <x:f>ROUND(L1111*(1-I1111),2)</x:f>
        <x:v>20900</x:v>
      </x:c>
      <x:c r="N1111" s="2" t="n">
        <x:f>G1111*J1111</x:f>
        <x:v>17600</x:v>
      </x:c>
      <x:c r="O1111" s="2" t="n">
        <x:f>M1111-N1111-K1111</x:f>
        <x:v>3220</x:v>
      </x:c>
      <x:c r="P1111" s="1" t="str">
        <x:f>TEXT(B1111,"yyyy-mm")</x:f>
        <x:v>2025-06</x:v>
      </x:c>
    </x:row>
    <x:row r="1112">
      <x:c r="A1112" s="1" t="str">
        <x:v>ORD-1108</x:v>
      </x:c>
      <x:c r="B1112" s="4" t="d">
        <x:v>2025-11-21T00:00:00.000Z</x:v>
      </x:c>
      <x:c r="C1112" s="1" t="str">
        <x:v>C-014</x:v>
      </x:c>
      <x:c r="D1112" s="1" t="str">
        <x:v>West</x:v>
      </x:c>
      <x:c r="E1112" s="1" t="str">
        <x:v>Electronics</x:v>
      </x:c>
      <x:c r="F1112" s="1" t="str">
        <x:v>Keyboard</x:v>
      </x:c>
      <x:c r="G1112" s="1" t="n">
        <x:v>3</x:v>
      </x:c>
      <x:c r="H1112" s="2" t="n">
        <x:v>1500</x:v>
      </x:c>
      <x:c r="I1112" s="3" t="n">
        <x:v>0.1</x:v>
      </x:c>
      <x:c r="J1112" s="2" t="n">
        <x:v>900</x:v>
      </x:c>
      <x:c r="K1112" s="2" t="n">
        <x:v>120</x:v>
      </x:c>
      <x:c r="L1112" s="2" t="n">
        <x:f>G1112*H1112</x:f>
        <x:v>4500</x:v>
      </x:c>
      <x:c r="M1112" s="2" t="n">
        <x:f>ROUND(L1112*(1-I1112),2)</x:f>
        <x:v>4050</x:v>
      </x:c>
      <x:c r="N1112" s="2" t="n">
        <x:f>G1112*J1112</x:f>
        <x:v>2700</x:v>
      </x:c>
      <x:c r="O1112" s="2" t="n">
        <x:f>M1112-N1112-K1112</x:f>
        <x:v>1230</x:v>
      </x:c>
      <x:c r="P1112" s="1" t="str">
        <x:f>TEXT(B1112,"yyyy-mm")</x:f>
        <x:v>2025-11</x:v>
      </x:c>
    </x:row>
    <x:row r="1113">
      <x:c r="A1113" s="1" t="str">
        <x:v>ORD-1109</x:v>
      </x:c>
      <x:c r="B1113" s="4" t="d">
        <x:v>2025-03-20T00:00:00.000Z</x:v>
      </x:c>
      <x:c r="C1113" s="1" t="str">
        <x:v>C-035</x:v>
      </x:c>
      <x:c r="D1113" s="1" t="str">
        <x:v>South</x:v>
      </x:c>
      <x:c r="E1113" s="1" t="str">
        <x:v>Electronics</x:v>
      </x:c>
      <x:c r="F1113" s="1" t="str">
        <x:v>Keyboard</x:v>
      </x:c>
      <x:c r="G1113" s="1" t="n">
        <x:v>2</x:v>
      </x:c>
      <x:c r="H1113" s="2" t="n">
        <x:v>1500</x:v>
      </x:c>
      <x:c r="I1113" s="3" t="n">
        <x:v>0</x:v>
      </x:c>
      <x:c r="J1113" s="2" t="n">
        <x:v>900</x:v>
      </x:c>
      <x:c r="K1113" s="2" t="n">
        <x:v>120</x:v>
      </x:c>
      <x:c r="L1113" s="2" t="n">
        <x:f>G1113*H1113</x:f>
        <x:v>3000</x:v>
      </x:c>
      <x:c r="M1113" s="2" t="n">
        <x:f>ROUND(L1113*(1-I1113),2)</x:f>
        <x:v>3000</x:v>
      </x:c>
      <x:c r="N1113" s="2" t="n">
        <x:f>G1113*J1113</x:f>
        <x:v>1800</x:v>
      </x:c>
      <x:c r="O1113" s="2" t="n">
        <x:f>M1113-N1113-K1113</x:f>
        <x:v>1080</x:v>
      </x:c>
      <x:c r="P1113" s="1" t="str">
        <x:f>TEXT(B1113,"yyyy-mm")</x:f>
        <x:v>2025-03</x:v>
      </x:c>
    </x:row>
    <x:row r="1114">
      <x:c r="A1114" s="1" t="str">
        <x:v>ORD-1110</x:v>
      </x:c>
      <x:c r="B1114" s="4" t="d">
        <x:v>2025-08-16T00:00:00.000Z</x:v>
      </x:c>
      <x:c r="C1114" s="1" t="str">
        <x:v>C-228</x:v>
      </x:c>
      <x:c r="D1114" s="1" t="str">
        <x:v>South</x:v>
      </x:c>
      <x:c r="E1114" s="1" t="str">
        <x:v>Fashion</x:v>
      </x:c>
      <x:c r="F1114" s="1" t="str">
        <x:v>Backpack</x:v>
      </x:c>
      <x:c r="G1114" s="1" t="n">
        <x:v>2</x:v>
      </x:c>
      <x:c r="H1114" s="2" t="n">
        <x:v>1300</x:v>
      </x:c>
      <x:c r="I1114" s="3" t="n">
        <x:v>0.15</x:v>
      </x:c>
      <x:c r="J1114" s="2" t="n">
        <x:v>650</x:v>
      </x:c>
      <x:c r="K1114" s="2" t="n">
        <x:v>50</x:v>
      </x:c>
      <x:c r="L1114" s="2" t="n">
        <x:f>G1114*H1114</x:f>
        <x:v>2600</x:v>
      </x:c>
      <x:c r="M1114" s="2" t="n">
        <x:f>ROUND(L1114*(1-I1114),2)</x:f>
        <x:v>2210</x:v>
      </x:c>
      <x:c r="N1114" s="2" t="n">
        <x:f>G1114*J1114</x:f>
        <x:v>1300</x:v>
      </x:c>
      <x:c r="O1114" s="2" t="n">
        <x:f>M1114-N1114-K1114</x:f>
        <x:v>860</x:v>
      </x:c>
      <x:c r="P1114" s="1" t="str">
        <x:f>TEXT(B1114,"yyyy-mm")</x:f>
        <x:v>2025-08</x:v>
      </x:c>
    </x:row>
    <x:row r="1115">
      <x:c r="A1115" s="1" t="str">
        <x:v>ORD-1111</x:v>
      </x:c>
      <x:c r="B1115" s="4" t="d">
        <x:v>2025-11-10T00:00:00.000Z</x:v>
      </x:c>
      <x:c r="C1115" s="1" t="str">
        <x:v>C-300</x:v>
      </x:c>
      <x:c r="D1115" s="1" t="str">
        <x:v>West</x:v>
      </x:c>
      <x:c r="E1115" s="1" t="str">
        <x:v>Electronics</x:v>
      </x:c>
      <x:c r="F1115" s="1" t="str">
        <x:v>Headphones</x:v>
      </x:c>
      <x:c r="G1115" s="1" t="n">
        <x:v>3</x:v>
      </x:c>
      <x:c r="H1115" s="2" t="n">
        <x:v>2200</x:v>
      </x:c>
      <x:c r="I1115" s="3" t="n">
        <x:v>0.05</x:v>
      </x:c>
      <x:c r="J1115" s="2" t="n">
        <x:v>1450</x:v>
      </x:c>
      <x:c r="K1115" s="2" t="n">
        <x:v>80</x:v>
      </x:c>
      <x:c r="L1115" s="2" t="n">
        <x:f>G1115*H1115</x:f>
        <x:v>6600</x:v>
      </x:c>
      <x:c r="M1115" s="2" t="n">
        <x:f>ROUND(L1115*(1-I1115),2)</x:f>
        <x:v>6270</x:v>
      </x:c>
      <x:c r="N1115" s="2" t="n">
        <x:f>G1115*J1115</x:f>
        <x:v>4350</x:v>
      </x:c>
      <x:c r="O1115" s="2" t="n">
        <x:f>M1115-N1115-K1115</x:f>
        <x:v>1840</x:v>
      </x:c>
      <x:c r="P1115" s="1" t="str">
        <x:f>TEXT(B1115,"yyyy-mm")</x:f>
        <x:v>2025-11</x:v>
      </x:c>
    </x:row>
    <x:row r="1116">
      <x:c r="A1116" s="1" t="str">
        <x:v>ORD-1112</x:v>
      </x:c>
      <x:c r="B1116" s="4" t="d">
        <x:v>2025-09-05T00:00:00.000Z</x:v>
      </x:c>
      <x:c r="C1116" s="1" t="str">
        <x:v>C-241</x:v>
      </x:c>
      <x:c r="D1116" s="1" t="str">
        <x:v>East</x:v>
      </x:c>
      <x:c r="E1116" s="1" t="str">
        <x:v>Home</x:v>
      </x:c>
      <x:c r="F1116" s="1" t="str">
        <x:v>Storage box</x:v>
      </x:c>
      <x:c r="G1116" s="1" t="n">
        <x:v>3</x:v>
      </x:c>
      <x:c r="H1116" s="2" t="n">
        <x:v>800</x:v>
      </x:c>
      <x:c r="I1116" s="3" t="n">
        <x:v>0.05</x:v>
      </x:c>
      <x:c r="J1116" s="2" t="n">
        <x:v>420</x:v>
      </x:c>
      <x:c r="K1116" s="2" t="n">
        <x:v>80</x:v>
      </x:c>
      <x:c r="L1116" s="2" t="n">
        <x:f>G1116*H1116</x:f>
        <x:v>2400</x:v>
      </x:c>
      <x:c r="M1116" s="2" t="n">
        <x:f>ROUND(L1116*(1-I1116),2)</x:f>
        <x:v>2280</x:v>
      </x:c>
      <x:c r="N1116" s="2" t="n">
        <x:f>G1116*J1116</x:f>
        <x:v>1260</x:v>
      </x:c>
      <x:c r="O1116" s="2" t="n">
        <x:f>M1116-N1116-K1116</x:f>
        <x:v>940</x:v>
      </x:c>
      <x:c r="P1116" s="1" t="str">
        <x:f>TEXT(B1116,"yyyy-mm")</x:f>
        <x:v>2025-09</x:v>
      </x:c>
    </x:row>
    <x:row r="1117">
      <x:c r="A1117" s="1" t="str">
        <x:v>ORD-1113</x:v>
      </x:c>
      <x:c r="B1117" s="4" t="d">
        <x:v>2025-06-19T00:00:00.000Z</x:v>
      </x:c>
      <x:c r="C1117" s="1" t="str">
        <x:v>C-075</x:v>
      </x:c>
      <x:c r="D1117" s="1" t="str">
        <x:v>North</x:v>
      </x:c>
      <x:c r="E1117" s="1" t="str">
        <x:v>Electronics</x:v>
      </x:c>
      <x:c r="F1117" s="1" t="str">
        <x:v>Headphones</x:v>
      </x:c>
      <x:c r="G1117" s="1" t="n">
        <x:v>2</x:v>
      </x:c>
      <x:c r="H1117" s="2" t="n">
        <x:v>2200</x:v>
      </x:c>
      <x:c r="I1117" s="3" t="n">
        <x:v>0.25</x:v>
      </x:c>
      <x:c r="J1117" s="2" t="n">
        <x:v>1450</x:v>
      </x:c>
      <x:c r="K1117" s="2" t="n">
        <x:v>120</x:v>
      </x:c>
      <x:c r="L1117" s="2" t="n">
        <x:f>G1117*H1117</x:f>
        <x:v>4400</x:v>
      </x:c>
      <x:c r="M1117" s="2" t="n">
        <x:f>ROUND(L1117*(1-I1117),2)</x:f>
        <x:v>3300</x:v>
      </x:c>
      <x:c r="N1117" s="2" t="n">
        <x:f>G1117*J1117</x:f>
        <x:v>2900</x:v>
      </x:c>
      <x:c r="O1117" s="2" t="n">
        <x:f>M1117-N1117-K1117</x:f>
        <x:v>280</x:v>
      </x:c>
      <x:c r="P1117" s="1" t="str">
        <x:f>TEXT(B1117,"yyyy-mm")</x:f>
        <x:v>2025-06</x:v>
      </x:c>
    </x:row>
    <x:row r="1118">
      <x:c r="A1118" s="1" t="str">
        <x:v>ORD-1114</x:v>
      </x:c>
      <x:c r="B1118" s="4" t="d">
        <x:v>2025-11-14T00:00:00.000Z</x:v>
      </x:c>
      <x:c r="C1118" s="1" t="str">
        <x:v>C-177</x:v>
      </x:c>
      <x:c r="D1118" s="1" t="str">
        <x:v>South</x:v>
      </x:c>
      <x:c r="E1118" s="1" t="str">
        <x:v>Home</x:v>
      </x:c>
      <x:c r="F1118" s="1" t="str">
        <x:v>Storage box</x:v>
      </x:c>
      <x:c r="G1118" s="1" t="n">
        <x:v>2</x:v>
      </x:c>
      <x:c r="H1118" s="2" t="n">
        <x:v>800</x:v>
      </x:c>
      <x:c r="I1118" s="3" t="n">
        <x:v>0</x:v>
      </x:c>
      <x:c r="J1118" s="2" t="n">
        <x:v>420</x:v>
      </x:c>
      <x:c r="K1118" s="2" t="n">
        <x:v>120</x:v>
      </x:c>
      <x:c r="L1118" s="2" t="n">
        <x:f>G1118*H1118</x:f>
        <x:v>1600</x:v>
      </x:c>
      <x:c r="M1118" s="2" t="n">
        <x:f>ROUND(L1118*(1-I1118),2)</x:f>
        <x:v>1600</x:v>
      </x:c>
      <x:c r="N1118" s="2" t="n">
        <x:f>G1118*J1118</x:f>
        <x:v>840</x:v>
      </x:c>
      <x:c r="O1118" s="2" t="n">
        <x:f>M1118-N1118-K1118</x:f>
        <x:v>640</x:v>
      </x:c>
      <x:c r="P1118" s="1" t="str">
        <x:f>TEXT(B1118,"yyyy-mm")</x:f>
        <x:v>2025-11</x:v>
      </x:c>
    </x:row>
    <x:row r="1119">
      <x:c r="A1119" s="1" t="str">
        <x:v>ORD-1115</x:v>
      </x:c>
      <x:c r="B1119" s="4" t="d">
        <x:v>2025-12-07T00:00:00.000Z</x:v>
      </x:c>
      <x:c r="C1119" s="1" t="str">
        <x:v>C-244</x:v>
      </x:c>
      <x:c r="D1119" s="1" t="str">
        <x:v>West</x:v>
      </x:c>
      <x:c r="E1119" s="1" t="str">
        <x:v>Electronics</x:v>
      </x:c>
      <x:c r="F1119" s="1" t="str">
        <x:v>Keyboard</x:v>
      </x:c>
      <x:c r="G1119" s="1" t="n">
        <x:v>3</x:v>
      </x:c>
      <x:c r="H1119" s="2" t="n">
        <x:v>1500</x:v>
      </x:c>
      <x:c r="I1119" s="3" t="n">
        <x:v>0.1</x:v>
      </x:c>
      <x:c r="J1119" s="2" t="n">
        <x:v>900</x:v>
      </x:c>
      <x:c r="K1119" s="2" t="n">
        <x:v>120</x:v>
      </x:c>
      <x:c r="L1119" s="2" t="n">
        <x:f>G1119*H1119</x:f>
        <x:v>4500</x:v>
      </x:c>
      <x:c r="M1119" s="2" t="n">
        <x:f>ROUND(L1119*(1-I1119),2)</x:f>
        <x:v>4050</x:v>
      </x:c>
      <x:c r="N1119" s="2" t="n">
        <x:f>G1119*J1119</x:f>
        <x:v>2700</x:v>
      </x:c>
      <x:c r="O1119" s="2" t="n">
        <x:f>M1119-N1119-K1119</x:f>
        <x:v>1230</x:v>
      </x:c>
      <x:c r="P1119" s="1" t="str">
        <x:f>TEXT(B1119,"yyyy-mm")</x:f>
        <x:v>2025-12</x:v>
      </x:c>
    </x:row>
    <x:row r="1120">
      <x:c r="A1120" s="1" t="str">
        <x:v>ORD-1116</x:v>
      </x:c>
      <x:c r="B1120" s="4" t="d">
        <x:v>2025-08-10T00:00:00.000Z</x:v>
      </x:c>
      <x:c r="C1120" s="1" t="str">
        <x:v>C-215</x:v>
      </x:c>
      <x:c r="D1120" s="1" t="str">
        <x:v>East</x:v>
      </x:c>
      <x:c r="E1120" s="1" t="str">
        <x:v>Fashion</x:v>
      </x:c>
      <x:c r="F1120" s="1" t="str">
        <x:v>Backpack</x:v>
      </x:c>
      <x:c r="G1120" s="1" t="n">
        <x:v>2</x:v>
      </x:c>
      <x:c r="H1120" s="2" t="n">
        <x:v>1300</x:v>
      </x:c>
      <x:c r="I1120" s="3" t="n">
        <x:v>0.25</x:v>
      </x:c>
      <x:c r="J1120" s="2" t="n">
        <x:v>650</x:v>
      </x:c>
      <x:c r="K1120" s="2" t="n">
        <x:v>50</x:v>
      </x:c>
      <x:c r="L1120" s="2" t="n">
        <x:f>G1120*H1120</x:f>
        <x:v>2600</x:v>
      </x:c>
      <x:c r="M1120" s="2" t="n">
        <x:f>ROUND(L1120*(1-I1120),2)</x:f>
        <x:v>1950</x:v>
      </x:c>
      <x:c r="N1120" s="2" t="n">
        <x:f>G1120*J1120</x:f>
        <x:v>1300</x:v>
      </x:c>
      <x:c r="O1120" s="2" t="n">
        <x:f>M1120-N1120-K1120</x:f>
        <x:v>600</x:v>
      </x:c>
      <x:c r="P1120" s="1" t="str">
        <x:f>TEXT(B1120,"yyyy-mm")</x:f>
        <x:v>2025-08</x:v>
      </x:c>
    </x:row>
    <x:row r="1121">
      <x:c r="A1121" s="1" t="str">
        <x:v>ORD-1117</x:v>
      </x:c>
      <x:c r="B1121" s="4" t="d">
        <x:v>2025-07-08T00:00:00.000Z</x:v>
      </x:c>
      <x:c r="C1121" s="1" t="str">
        <x:v>C-002</x:v>
      </x:c>
      <x:c r="D1121" s="1" t="str">
        <x:v>South</x:v>
      </x:c>
      <x:c r="E1121" s="1" t="str">
        <x:v>Electronics</x:v>
      </x:c>
      <x:c r="F1121" s="1" t="str">
        <x:v>Headphones</x:v>
      </x:c>
      <x:c r="G1121" s="1" t="n">
        <x:v>2</x:v>
      </x:c>
      <x:c r="H1121" s="2" t="n">
        <x:v>2200</x:v>
      </x:c>
      <x:c r="I1121" s="3" t="n">
        <x:v>0.15</x:v>
      </x:c>
      <x:c r="J1121" s="2" t="n">
        <x:v>1450</x:v>
      </x:c>
      <x:c r="K1121" s="2" t="n">
        <x:v>80</x:v>
      </x:c>
      <x:c r="L1121" s="2" t="n">
        <x:f>G1121*H1121</x:f>
        <x:v>4400</x:v>
      </x:c>
      <x:c r="M1121" s="2" t="n">
        <x:f>ROUND(L1121*(1-I1121),2)</x:f>
        <x:v>3740</x:v>
      </x:c>
      <x:c r="N1121" s="2" t="n">
        <x:f>G1121*J1121</x:f>
        <x:v>2900</x:v>
      </x:c>
      <x:c r="O1121" s="2" t="n">
        <x:f>M1121-N1121-K1121</x:f>
        <x:v>760</x:v>
      </x:c>
      <x:c r="P1121" s="1" t="str">
        <x:f>TEXT(B1121,"yyyy-mm")</x:f>
        <x:v>2025-07</x:v>
      </x:c>
    </x:row>
    <x:row r="1122">
      <x:c r="A1122" s="1" t="str">
        <x:v>ORD-1118</x:v>
      </x:c>
      <x:c r="B1122" s="4" t="d">
        <x:v>2025-09-24T00:00:00.000Z</x:v>
      </x:c>
      <x:c r="C1122" s="1" t="str">
        <x:v>C-170</x:v>
      </x:c>
      <x:c r="D1122" s="1" t="str">
        <x:v>West</x:v>
      </x:c>
      <x:c r="E1122" s="1" t="str">
        <x:v>Fashion</x:v>
      </x:c>
      <x:c r="F1122" s="1" t="str">
        <x:v>T-shirt</x:v>
      </x:c>
      <x:c r="G1122" s="1" t="n">
        <x:v>2</x:v>
      </x:c>
      <x:c r="H1122" s="2" t="n">
        <x:v>700</x:v>
      </x:c>
      <x:c r="I1122" s="3" t="n">
        <x:v>0.15</x:v>
      </x:c>
      <x:c r="J1122" s="2" t="n">
        <x:v>300</x:v>
      </x:c>
      <x:c r="K1122" s="2" t="n">
        <x:v>80</x:v>
      </x:c>
      <x:c r="L1122" s="2" t="n">
        <x:f>G1122*H1122</x:f>
        <x:v>1400</x:v>
      </x:c>
      <x:c r="M1122" s="2" t="n">
        <x:f>ROUND(L1122*(1-I1122),2)</x:f>
        <x:v>1190</x:v>
      </x:c>
      <x:c r="N1122" s="2" t="n">
        <x:f>G1122*J1122</x:f>
        <x:v>600</x:v>
      </x:c>
      <x:c r="O1122" s="2" t="n">
        <x:f>M1122-N1122-K1122</x:f>
        <x:v>510</x:v>
      </x:c>
      <x:c r="P1122" s="1" t="str">
        <x:f>TEXT(B1122,"yyyy-mm")</x:f>
        <x:v>2025-09</x:v>
      </x:c>
    </x:row>
    <x:row r="1123">
      <x:c r="A1123" s="1" t="str">
        <x:v>ORD-1119</x:v>
      </x:c>
      <x:c r="B1123" s="4" t="d">
        <x:v>2025-03-01T00:00:00.000Z</x:v>
      </x:c>
      <x:c r="C1123" s="1" t="str">
        <x:v>C-038</x:v>
      </x:c>
      <x:c r="D1123" s="1" t="str">
        <x:v>East</x:v>
      </x:c>
      <x:c r="E1123" s="1" t="str">
        <x:v>Electronics</x:v>
      </x:c>
      <x:c r="F1123" s="1" t="str">
        <x:v>Headphones</x:v>
      </x:c>
      <x:c r="G1123" s="1" t="n">
        <x:v>1</x:v>
      </x:c>
      <x:c r="H1123" s="2" t="n">
        <x:v>2200</x:v>
      </x:c>
      <x:c r="I1123" s="3" t="n">
        <x:v>0.1</x:v>
      </x:c>
      <x:c r="J1123" s="2" t="n">
        <x:v>1450</x:v>
      </x:c>
      <x:c r="K1123" s="2" t="n">
        <x:v>120</x:v>
      </x:c>
      <x:c r="L1123" s="2" t="n">
        <x:f>G1123*H1123</x:f>
        <x:v>2200</x:v>
      </x:c>
      <x:c r="M1123" s="2" t="n">
        <x:f>ROUND(L1123*(1-I1123),2)</x:f>
        <x:v>1980</x:v>
      </x:c>
      <x:c r="N1123" s="2" t="n">
        <x:f>G1123*J1123</x:f>
        <x:v>1450</x:v>
      </x:c>
      <x:c r="O1123" s="2" t="n">
        <x:f>M1123-N1123-K1123</x:f>
        <x:v>410</x:v>
      </x:c>
      <x:c r="P1123" s="1" t="str">
        <x:f>TEXT(B1123,"yyyy-mm")</x:f>
        <x:v>2025-03</x:v>
      </x:c>
    </x:row>
    <x:row r="1124">
      <x:c r="A1124" s="1" t="str">
        <x:v>ORD-1120</x:v>
      </x:c>
      <x:c r="B1124" s="4" t="d">
        <x:v>2025-02-07T00:00:00.000Z</x:v>
      </x:c>
      <x:c r="C1124" s="1" t="str">
        <x:v>C-300</x:v>
      </x:c>
      <x:c r="D1124" s="1" t="str">
        <x:v>East</x:v>
      </x:c>
      <x:c r="E1124" s="1" t="str">
        <x:v>Fashion</x:v>
      </x:c>
      <x:c r="F1124" s="1" t="str">
        <x:v>Sneakers</x:v>
      </x:c>
      <x:c r="G1124" s="1" t="n">
        <x:v>1</x:v>
      </x:c>
      <x:c r="H1124" s="2" t="n">
        <x:v>2400</x:v>
      </x:c>
      <x:c r="I1124" s="3" t="n">
        <x:v>0.15</x:v>
      </x:c>
      <x:c r="J1124" s="2" t="n">
        <x:v>1200</x:v>
      </x:c>
      <x:c r="K1124" s="2" t="n">
        <x:v>50</x:v>
      </x:c>
      <x:c r="L1124" s="2" t="n">
        <x:f>G1124*H1124</x:f>
        <x:v>2400</x:v>
      </x:c>
      <x:c r="M1124" s="2" t="n">
        <x:f>ROUND(L1124*(1-I1124),2)</x:f>
        <x:v>2040</x:v>
      </x:c>
      <x:c r="N1124" s="2" t="n">
        <x:f>G1124*J1124</x:f>
        <x:v>1200</x:v>
      </x:c>
      <x:c r="O1124" s="2" t="n">
        <x:f>M1124-N1124-K1124</x:f>
        <x:v>790</x:v>
      </x:c>
      <x:c r="P1124" s="1" t="str">
        <x:f>TEXT(B1124,"yyyy-mm")</x:f>
        <x:v>2025-02</x:v>
      </x:c>
    </x:row>
    <x:row r="1125">
      <x:c r="A1125" s="1" t="str">
        <x:v>ORD-1121</x:v>
      </x:c>
      <x:c r="B1125" s="4" t="d">
        <x:v>2025-04-08T00:00:00.000Z</x:v>
      </x:c>
      <x:c r="C1125" s="1" t="str">
        <x:v>C-135</x:v>
      </x:c>
      <x:c r="D1125" s="1" t="str">
        <x:v>South</x:v>
      </x:c>
      <x:c r="E1125" s="1" t="str">
        <x:v>Fashion</x:v>
      </x:c>
      <x:c r="F1125" s="1" t="str">
        <x:v>Sneakers</x:v>
      </x:c>
      <x:c r="G1125" s="1" t="n">
        <x:v>3</x:v>
      </x:c>
      <x:c r="H1125" s="2" t="n">
        <x:v>2400</x:v>
      </x:c>
      <x:c r="I1125" s="3" t="n">
        <x:v>0.05</x:v>
      </x:c>
      <x:c r="J1125" s="2" t="n">
        <x:v>1200</x:v>
      </x:c>
      <x:c r="K1125" s="2" t="n">
        <x:v>120</x:v>
      </x:c>
      <x:c r="L1125" s="2" t="n">
        <x:f>G1125*H1125</x:f>
        <x:v>7200</x:v>
      </x:c>
      <x:c r="M1125" s="2" t="n">
        <x:f>ROUND(L1125*(1-I1125),2)</x:f>
        <x:v>6840</x:v>
      </x:c>
      <x:c r="N1125" s="2" t="n">
        <x:f>G1125*J1125</x:f>
        <x:v>3600</x:v>
      </x:c>
      <x:c r="O1125" s="2" t="n">
        <x:f>M1125-N1125-K1125</x:f>
        <x:v>3120</x:v>
      </x:c>
      <x:c r="P1125" s="1" t="str">
        <x:f>TEXT(B1125,"yyyy-mm")</x:f>
        <x:v>2025-04</x:v>
      </x:c>
    </x:row>
    <x:row r="1126">
      <x:c r="A1126" s="1" t="str">
        <x:v>ORD-1122</x:v>
      </x:c>
      <x:c r="B1126" s="4" t="d">
        <x:v>2025-04-06T00:00:00.000Z</x:v>
      </x:c>
      <x:c r="C1126" s="1" t="str">
        <x:v>C-135</x:v>
      </x:c>
      <x:c r="D1126" s="1" t="str">
        <x:v>North</x:v>
      </x:c>
      <x:c r="E1126" s="1" t="str">
        <x:v>Fashion</x:v>
      </x:c>
      <x:c r="F1126" s="1" t="str">
        <x:v>T-shirt</x:v>
      </x:c>
      <x:c r="G1126" s="1" t="n">
        <x:v>1</x:v>
      </x:c>
      <x:c r="H1126" s="2" t="n">
        <x:v>700</x:v>
      </x:c>
      <x:c r="I1126" s="3" t="n">
        <x:v>0</x:v>
      </x:c>
      <x:c r="J1126" s="2" t="n">
        <x:v>300</x:v>
      </x:c>
      <x:c r="K1126" s="2" t="n">
        <x:v>120</x:v>
      </x:c>
      <x:c r="L1126" s="2" t="n">
        <x:f>G1126*H1126</x:f>
        <x:v>700</x:v>
      </x:c>
      <x:c r="M1126" s="2" t="n">
        <x:f>ROUND(L1126*(1-I1126),2)</x:f>
        <x:v>700</x:v>
      </x:c>
      <x:c r="N1126" s="2" t="n">
        <x:f>G1126*J1126</x:f>
        <x:v>300</x:v>
      </x:c>
      <x:c r="O1126" s="2" t="n">
        <x:f>M1126-N1126-K1126</x:f>
        <x:v>280</x:v>
      </x:c>
      <x:c r="P1126" s="1" t="str">
        <x:f>TEXT(B1126,"yyyy-mm")</x:f>
        <x:v>2025-04</x:v>
      </x:c>
    </x:row>
    <x:row r="1127">
      <x:c r="A1127" s="1" t="str">
        <x:v>ORD-1123</x:v>
      </x:c>
      <x:c r="B1127" s="4" t="d">
        <x:v>2025-03-30T00:00:00.000Z</x:v>
      </x:c>
      <x:c r="C1127" s="1" t="str">
        <x:v>C-108</x:v>
      </x:c>
      <x:c r="D1127" s="1" t="str">
        <x:v>East</x:v>
      </x:c>
      <x:c r="E1127" s="1" t="str">
        <x:v>Electronics</x:v>
      </x:c>
      <x:c r="F1127" s="1" t="str">
        <x:v>Keyboard</x:v>
      </x:c>
      <x:c r="G1127" s="1" t="n">
        <x:v>4</x:v>
      </x:c>
      <x:c r="H1127" s="2" t="n">
        <x:v>1500</x:v>
      </x:c>
      <x:c r="I1127" s="3" t="n">
        <x:v>0.1</x:v>
      </x:c>
      <x:c r="J1127" s="2" t="n">
        <x:v>900</x:v>
      </x:c>
      <x:c r="K1127" s="2" t="n">
        <x:v>50</x:v>
      </x:c>
      <x:c r="L1127" s="2" t="n">
        <x:f>G1127*H1127</x:f>
        <x:v>6000</x:v>
      </x:c>
      <x:c r="M1127" s="2" t="n">
        <x:f>ROUND(L1127*(1-I1127),2)</x:f>
        <x:v>5400</x:v>
      </x:c>
      <x:c r="N1127" s="2" t="n">
        <x:f>G1127*J1127</x:f>
        <x:v>3600</x:v>
      </x:c>
      <x:c r="O1127" s="2" t="n">
        <x:f>M1127-N1127-K1127</x:f>
        <x:v>1750</x:v>
      </x:c>
      <x:c r="P1127" s="1" t="str">
        <x:f>TEXT(B1127,"yyyy-mm")</x:f>
        <x:v>2025-03</x:v>
      </x:c>
    </x:row>
    <x:row r="1128">
      <x:c r="A1128" s="1" t="str">
        <x:v>ORD-1124</x:v>
      </x:c>
      <x:c r="B1128" s="4" t="d">
        <x:v>2025-06-06T00:00:00.000Z</x:v>
      </x:c>
      <x:c r="C1128" s="1" t="str">
        <x:v>C-270</x:v>
      </x:c>
      <x:c r="D1128" s="1" t="str">
        <x:v>West</x:v>
      </x:c>
      <x:c r="E1128" s="1" t="str">
        <x:v>Fashion</x:v>
      </x:c>
      <x:c r="F1128" s="1" t="str">
        <x:v>Backpack</x:v>
      </x:c>
      <x:c r="G1128" s="1" t="n">
        <x:v>1</x:v>
      </x:c>
      <x:c r="H1128" s="2" t="n">
        <x:v>1300</x:v>
      </x:c>
      <x:c r="I1128" s="3" t="n">
        <x:v>0.35</x:v>
      </x:c>
      <x:c r="J1128" s="2" t="n">
        <x:v>650</x:v>
      </x:c>
      <x:c r="K1128" s="2" t="n">
        <x:v>50</x:v>
      </x:c>
      <x:c r="L1128" s="2" t="n">
        <x:f>G1128*H1128</x:f>
        <x:v>1300</x:v>
      </x:c>
      <x:c r="M1128" s="2" t="n">
        <x:f>ROUND(L1128*(1-I1128),2)</x:f>
        <x:v>845</x:v>
      </x:c>
      <x:c r="N1128" s="2" t="n">
        <x:f>G1128*J1128</x:f>
        <x:v>650</x:v>
      </x:c>
      <x:c r="O1128" s="2" t="n">
        <x:f>M1128-N1128-K1128</x:f>
        <x:v>145</x:v>
      </x:c>
      <x:c r="P1128" s="1" t="str">
        <x:f>TEXT(B1128,"yyyy-mm")</x:f>
        <x:v>2025-06</x:v>
      </x:c>
    </x:row>
    <x:row r="1129">
      <x:c r="A1129" s="1" t="str">
        <x:v>ORD-1125</x:v>
      </x:c>
      <x:c r="B1129" s="4" t="d">
        <x:v>2025-03-07T00:00:00.000Z</x:v>
      </x:c>
      <x:c r="C1129" s="1" t="str">
        <x:v>C-273</x:v>
      </x:c>
      <x:c r="D1129" s="1" t="str">
        <x:v>West</x:v>
      </x:c>
      <x:c r="E1129" s="1" t="str">
        <x:v>Electronics</x:v>
      </x:c>
      <x:c r="F1129" s="1" t="str">
        <x:v>Smartwatch</x:v>
      </x:c>
      <x:c r="G1129" s="1" t="n">
        <x:v>3</x:v>
      </x:c>
      <x:c r="H1129" s="2" t="n">
        <x:v>4200</x:v>
      </x:c>
      <x:c r="I1129" s="3" t="n">
        <x:v>0.05</x:v>
      </x:c>
      <x:c r="J1129" s="2" t="n">
        <x:v>3000</x:v>
      </x:c>
      <x:c r="K1129" s="2" t="n">
        <x:v>80</x:v>
      </x:c>
      <x:c r="L1129" s="2" t="n">
        <x:f>G1129*H1129</x:f>
        <x:v>12600</x:v>
      </x:c>
      <x:c r="M1129" s="2" t="n">
        <x:f>ROUND(L1129*(1-I1129),2)</x:f>
        <x:v>11970</x:v>
      </x:c>
      <x:c r="N1129" s="2" t="n">
        <x:f>G1129*J1129</x:f>
        <x:v>9000</x:v>
      </x:c>
      <x:c r="O1129" s="2" t="n">
        <x:f>M1129-N1129-K1129</x:f>
        <x:v>2890</x:v>
      </x:c>
      <x:c r="P1129" s="1" t="str">
        <x:f>TEXT(B1129,"yyyy-mm")</x:f>
        <x:v>2025-03</x:v>
      </x:c>
    </x:row>
    <x:row r="1130">
      <x:c r="A1130" s="1" t="str">
        <x:v>ORD-1126</x:v>
      </x:c>
      <x:c r="B1130" s="4" t="d">
        <x:v>2025-09-25T00:00:00.000Z</x:v>
      </x:c>
      <x:c r="C1130" s="1" t="str">
        <x:v>C-097</x:v>
      </x:c>
      <x:c r="D1130" s="1" t="str">
        <x:v>East</x:v>
      </x:c>
      <x:c r="E1130" s="1" t="str">
        <x:v>Fashion</x:v>
      </x:c>
      <x:c r="F1130" s="1" t="str">
        <x:v>T-shirt</x:v>
      </x:c>
      <x:c r="G1130" s="1" t="n">
        <x:v>2</x:v>
      </x:c>
      <x:c r="H1130" s="2" t="n">
        <x:v>700</x:v>
      </x:c>
      <x:c r="I1130" s="3" t="n">
        <x:v>0</x:v>
      </x:c>
      <x:c r="J1130" s="2" t="n">
        <x:v>300</x:v>
      </x:c>
      <x:c r="K1130" s="2" t="n">
        <x:v>80</x:v>
      </x:c>
      <x:c r="L1130" s="2" t="n">
        <x:f>G1130*H1130</x:f>
        <x:v>1400</x:v>
      </x:c>
      <x:c r="M1130" s="2" t="n">
        <x:f>ROUND(L1130*(1-I1130),2)</x:f>
        <x:v>1400</x:v>
      </x:c>
      <x:c r="N1130" s="2" t="n">
        <x:f>G1130*J1130</x:f>
        <x:v>600</x:v>
      </x:c>
      <x:c r="O1130" s="2" t="n">
        <x:f>M1130-N1130-K1130</x:f>
        <x:v>720</x:v>
      </x:c>
      <x:c r="P1130" s="1" t="str">
        <x:f>TEXT(B1130,"yyyy-mm")</x:f>
        <x:v>2025-09</x:v>
      </x:c>
    </x:row>
    <x:row r="1131">
      <x:c r="A1131" s="1" t="str">
        <x:v>ORD-1127</x:v>
      </x:c>
      <x:c r="B1131" s="4" t="d">
        <x:v>2025-04-28T00:00:00.000Z</x:v>
      </x:c>
      <x:c r="C1131" s="1" t="str">
        <x:v>C-261</x:v>
      </x:c>
      <x:c r="D1131" s="1" t="str">
        <x:v>West</x:v>
      </x:c>
      <x:c r="E1131" s="1" t="str">
        <x:v>Fashion</x:v>
      </x:c>
      <x:c r="F1131" s="1" t="str">
        <x:v>Sneakers</x:v>
      </x:c>
      <x:c r="G1131" s="1" t="n">
        <x:v>2</x:v>
      </x:c>
      <x:c r="H1131" s="2" t="n">
        <x:v>2400</x:v>
      </x:c>
      <x:c r="I1131" s="3" t="n">
        <x:v>0.05</x:v>
      </x:c>
      <x:c r="J1131" s="2" t="n">
        <x:v>1200</x:v>
      </x:c>
      <x:c r="K1131" s="2" t="n">
        <x:v>120</x:v>
      </x:c>
      <x:c r="L1131" s="2" t="n">
        <x:f>G1131*H1131</x:f>
        <x:v>4800</x:v>
      </x:c>
      <x:c r="M1131" s="2" t="n">
        <x:f>ROUND(L1131*(1-I1131),2)</x:f>
        <x:v>4560</x:v>
      </x:c>
      <x:c r="N1131" s="2" t="n">
        <x:f>G1131*J1131</x:f>
        <x:v>2400</x:v>
      </x:c>
      <x:c r="O1131" s="2" t="n">
        <x:f>M1131-N1131-K1131</x:f>
        <x:v>2040</x:v>
      </x:c>
      <x:c r="P1131" s="1" t="str">
        <x:f>TEXT(B1131,"yyyy-mm")</x:f>
        <x:v>2025-04</x:v>
      </x:c>
    </x:row>
    <x:row r="1132">
      <x:c r="A1132" s="1" t="str">
        <x:v>ORD-1128</x:v>
      </x:c>
      <x:c r="B1132" s="4" t="d">
        <x:v>2025-02-20T00:00:00.000Z</x:v>
      </x:c>
      <x:c r="C1132" s="1" t="str">
        <x:v>C-034</x:v>
      </x:c>
      <x:c r="D1132" s="1" t="str">
        <x:v>South</x:v>
      </x:c>
      <x:c r="E1132" s="1" t="str">
        <x:v>Home</x:v>
      </x:c>
      <x:c r="F1132" s="1" t="str">
        <x:v>Desk lamp</x:v>
      </x:c>
      <x:c r="G1132" s="1" t="n">
        <x:v>4</x:v>
      </x:c>
      <x:c r="H1132" s="2" t="n">
        <x:v>1100</x:v>
      </x:c>
      <x:c r="I1132" s="3" t="n">
        <x:v>0.35</x:v>
      </x:c>
      <x:c r="J1132" s="2" t="n">
        <x:v>650</x:v>
      </x:c>
      <x:c r="K1132" s="2" t="n">
        <x:v>120</x:v>
      </x:c>
      <x:c r="L1132" s="2" t="n">
        <x:f>G1132*H1132</x:f>
        <x:v>4400</x:v>
      </x:c>
      <x:c r="M1132" s="2" t="n">
        <x:f>ROUND(L1132*(1-I1132),2)</x:f>
        <x:v>2860</x:v>
      </x:c>
      <x:c r="N1132" s="2" t="n">
        <x:f>G1132*J1132</x:f>
        <x:v>2600</x:v>
      </x:c>
      <x:c r="O1132" s="2" t="n">
        <x:f>M1132-N1132-K1132</x:f>
        <x:v>140</x:v>
      </x:c>
      <x:c r="P1132" s="1" t="str">
        <x:f>TEXT(B1132,"yyyy-mm")</x:f>
        <x:v>2025-02</x:v>
      </x:c>
    </x:row>
    <x:row r="1133">
      <x:c r="A1133" s="1" t="str">
        <x:v>ORD-1129</x:v>
      </x:c>
      <x:c r="B1133" s="4" t="d">
        <x:v>2025-10-17T00:00:00.000Z</x:v>
      </x:c>
      <x:c r="C1133" s="1" t="str">
        <x:v>C-238</x:v>
      </x:c>
      <x:c r="D1133" s="1" t="str">
        <x:v>South</x:v>
      </x:c>
      <x:c r="E1133" s="1" t="str">
        <x:v>Fashion</x:v>
      </x:c>
      <x:c r="F1133" s="1" t="str">
        <x:v>Backpack</x:v>
      </x:c>
      <x:c r="G1133" s="1" t="n">
        <x:v>3</x:v>
      </x:c>
      <x:c r="H1133" s="2" t="n">
        <x:v>1300</x:v>
      </x:c>
      <x:c r="I1133" s="3" t="n">
        <x:v>0.15</x:v>
      </x:c>
      <x:c r="J1133" s="2" t="n">
        <x:v>650</x:v>
      </x:c>
      <x:c r="K1133" s="2" t="n">
        <x:v>120</x:v>
      </x:c>
      <x:c r="L1133" s="2" t="n">
        <x:f>G1133*H1133</x:f>
        <x:v>3900</x:v>
      </x:c>
      <x:c r="M1133" s="2" t="n">
        <x:f>ROUND(L1133*(1-I1133),2)</x:f>
        <x:v>3315</x:v>
      </x:c>
      <x:c r="N1133" s="2" t="n">
        <x:f>G1133*J1133</x:f>
        <x:v>1950</x:v>
      </x:c>
      <x:c r="O1133" s="2" t="n">
        <x:f>M1133-N1133-K1133</x:f>
        <x:v>1245</x:v>
      </x:c>
      <x:c r="P1133" s="1" t="str">
        <x:f>TEXT(B1133,"yyyy-mm")</x:f>
        <x:v>2025-10</x:v>
      </x:c>
    </x:row>
    <x:row r="1134">
      <x:c r="A1134" s="1" t="str">
        <x:v>ORD-1130</x:v>
      </x:c>
      <x:c r="B1134" s="4" t="d">
        <x:v>2025-06-16T00:00:00.000Z</x:v>
      </x:c>
      <x:c r="C1134" s="1" t="str">
        <x:v>C-243</x:v>
      </x:c>
      <x:c r="D1134" s="1" t="str">
        <x:v>East</x:v>
      </x:c>
      <x:c r="E1134" s="1" t="str">
        <x:v>Home</x:v>
      </x:c>
      <x:c r="F1134" s="1" t="str">
        <x:v>Desk lamp</x:v>
      </x:c>
      <x:c r="G1134" s="1" t="n">
        <x:v>4</x:v>
      </x:c>
      <x:c r="H1134" s="2" t="n">
        <x:v>1100</x:v>
      </x:c>
      <x:c r="I1134" s="3" t="n">
        <x:v>0.35</x:v>
      </x:c>
      <x:c r="J1134" s="2" t="n">
        <x:v>650</x:v>
      </x:c>
      <x:c r="K1134" s="2" t="n">
        <x:v>120</x:v>
      </x:c>
      <x:c r="L1134" s="2" t="n">
        <x:f>G1134*H1134</x:f>
        <x:v>4400</x:v>
      </x:c>
      <x:c r="M1134" s="2" t="n">
        <x:f>ROUND(L1134*(1-I1134),2)</x:f>
        <x:v>2860</x:v>
      </x:c>
      <x:c r="N1134" s="2" t="n">
        <x:f>G1134*J1134</x:f>
        <x:v>2600</x:v>
      </x:c>
      <x:c r="O1134" s="2" t="n">
        <x:f>M1134-N1134-K1134</x:f>
        <x:v>140</x:v>
      </x:c>
      <x:c r="P1134" s="1" t="str">
        <x:f>TEXT(B1134,"yyyy-mm")</x:f>
        <x:v>2025-06</x:v>
      </x:c>
    </x:row>
    <x:row r="1135">
      <x:c r="A1135" s="1" t="str">
        <x:v>ORD-1131</x:v>
      </x:c>
      <x:c r="B1135" s="4" t="d">
        <x:v>2025-12-08T00:00:00.000Z</x:v>
      </x:c>
      <x:c r="C1135" s="1" t="str">
        <x:v>C-104</x:v>
      </x:c>
      <x:c r="D1135" s="1" t="str">
        <x:v>West</x:v>
      </x:c>
      <x:c r="E1135" s="1" t="str">
        <x:v>Electronics</x:v>
      </x:c>
      <x:c r="F1135" s="1" t="str">
        <x:v>Headphones</x:v>
      </x:c>
      <x:c r="G1135" s="1" t="n">
        <x:v>2</x:v>
      </x:c>
      <x:c r="H1135" s="2" t="n">
        <x:v>2200</x:v>
      </x:c>
      <x:c r="I1135" s="3" t="n">
        <x:v>0.05</x:v>
      </x:c>
      <x:c r="J1135" s="2" t="n">
        <x:v>1450</x:v>
      </x:c>
      <x:c r="K1135" s="2" t="n">
        <x:v>80</x:v>
      </x:c>
      <x:c r="L1135" s="2" t="n">
        <x:f>G1135*H1135</x:f>
        <x:v>4400</x:v>
      </x:c>
      <x:c r="M1135" s="2" t="n">
        <x:f>ROUND(L1135*(1-I1135),2)</x:f>
        <x:v>4180</x:v>
      </x:c>
      <x:c r="N1135" s="2" t="n">
        <x:f>G1135*J1135</x:f>
        <x:v>2900</x:v>
      </x:c>
      <x:c r="O1135" s="2" t="n">
        <x:f>M1135-N1135-K1135</x:f>
        <x:v>1200</x:v>
      </x:c>
      <x:c r="P1135" s="1" t="str">
        <x:f>TEXT(B1135,"yyyy-mm")</x:f>
        <x:v>2025-12</x:v>
      </x:c>
    </x:row>
    <x:row r="1136">
      <x:c r="A1136" s="1" t="str">
        <x:v>ORD-1132</x:v>
      </x:c>
      <x:c r="B1136" s="4" t="d">
        <x:v>2025-04-19T00:00:00.000Z</x:v>
      </x:c>
      <x:c r="C1136" s="1" t="str">
        <x:v>C-081</x:v>
      </x:c>
      <x:c r="D1136" s="1" t="str">
        <x:v>East</x:v>
      </x:c>
      <x:c r="E1136" s="1" t="str">
        <x:v>Home</x:v>
      </x:c>
      <x:c r="F1136" s="1" t="str">
        <x:v>Office chair</x:v>
      </x:c>
      <x:c r="G1136" s="1" t="n">
        <x:v>3</x:v>
      </x:c>
      <x:c r="H1136" s="2" t="n">
        <x:v>5500</x:v>
      </x:c>
      <x:c r="I1136" s="3" t="n">
        <x:v>0.15</x:v>
      </x:c>
      <x:c r="J1136" s="2" t="n">
        <x:v>4400</x:v>
      </x:c>
      <x:c r="K1136" s="2" t="n">
        <x:v>120</x:v>
      </x:c>
      <x:c r="L1136" s="2" t="n">
        <x:f>G1136*H1136</x:f>
        <x:v>16500</x:v>
      </x:c>
      <x:c r="M1136" s="2" t="n">
        <x:f>ROUND(L1136*(1-I1136),2)</x:f>
        <x:v>14025</x:v>
      </x:c>
      <x:c r="N1136" s="2" t="n">
        <x:f>G1136*J1136</x:f>
        <x:v>13200</x:v>
      </x:c>
      <x:c r="O1136" s="2" t="n">
        <x:f>M1136-N1136-K1136</x:f>
        <x:v>705</x:v>
      </x:c>
      <x:c r="P1136" s="1" t="str">
        <x:f>TEXT(B1136,"yyyy-mm")</x:f>
        <x:v>2025-04</x:v>
      </x:c>
    </x:row>
    <x:row r="1137">
      <x:c r="A1137" s="1" t="str">
        <x:v>ORD-1133</x:v>
      </x:c>
      <x:c r="B1137" s="4" t="d">
        <x:v>2025-02-15T00:00:00.000Z</x:v>
      </x:c>
      <x:c r="C1137" s="1" t="str">
        <x:v>C-266</x:v>
      </x:c>
      <x:c r="D1137" s="1" t="str">
        <x:v>East</x:v>
      </x:c>
      <x:c r="E1137" s="1" t="str">
        <x:v>Electronics</x:v>
      </x:c>
      <x:c r="F1137" s="1" t="str">
        <x:v>Keyboard</x:v>
      </x:c>
      <x:c r="G1137" s="1" t="n">
        <x:v>2</x:v>
      </x:c>
      <x:c r="H1137" s="2" t="n">
        <x:v>1500</x:v>
      </x:c>
      <x:c r="I1137" s="3" t="n">
        <x:v>0.1</x:v>
      </x:c>
      <x:c r="J1137" s="2" t="n">
        <x:v>900</x:v>
      </x:c>
      <x:c r="K1137" s="2" t="n">
        <x:v>120</x:v>
      </x:c>
      <x:c r="L1137" s="2" t="n">
        <x:f>G1137*H1137</x:f>
        <x:v>3000</x:v>
      </x:c>
      <x:c r="M1137" s="2" t="n">
        <x:f>ROUND(L1137*(1-I1137),2)</x:f>
        <x:v>2700</x:v>
      </x:c>
      <x:c r="N1137" s="2" t="n">
        <x:f>G1137*J1137</x:f>
        <x:v>1800</x:v>
      </x:c>
      <x:c r="O1137" s="2" t="n">
        <x:f>M1137-N1137-K1137</x:f>
        <x:v>780</x:v>
      </x:c>
      <x:c r="P1137" s="1" t="str">
        <x:f>TEXT(B1137,"yyyy-mm")</x:f>
        <x:v>2025-02</x:v>
      </x:c>
    </x:row>
    <x:row r="1138">
      <x:c r="A1138" s="1" t="str">
        <x:v>ORD-1134</x:v>
      </x:c>
      <x:c r="B1138" s="4" t="d">
        <x:v>2025-01-11T00:00:00.000Z</x:v>
      </x:c>
      <x:c r="C1138" s="1" t="str">
        <x:v>C-219</x:v>
      </x:c>
      <x:c r="D1138" s="1" t="str">
        <x:v>West</x:v>
      </x:c>
      <x:c r="E1138" s="1" t="str">
        <x:v>Home</x:v>
      </x:c>
      <x:c r="F1138" s="1" t="str">
        <x:v>Storage box</x:v>
      </x:c>
      <x:c r="G1138" s="1" t="n">
        <x:v>4</x:v>
      </x:c>
      <x:c r="H1138" s="2" t="n">
        <x:v>800</x:v>
      </x:c>
      <x:c r="I1138" s="3" t="n">
        <x:v>0.25</x:v>
      </x:c>
      <x:c r="J1138" s="2" t="n">
        <x:v>420</x:v>
      </x:c>
      <x:c r="K1138" s="2" t="n">
        <x:v>80</x:v>
      </x:c>
      <x:c r="L1138" s="2" t="n">
        <x:f>G1138*H1138</x:f>
        <x:v>3200</x:v>
      </x:c>
      <x:c r="M1138" s="2" t="n">
        <x:f>ROUND(L1138*(1-I1138),2)</x:f>
        <x:v>2400</x:v>
      </x:c>
      <x:c r="N1138" s="2" t="n">
        <x:f>G1138*J1138</x:f>
        <x:v>1680</x:v>
      </x:c>
      <x:c r="O1138" s="2" t="n">
        <x:f>M1138-N1138-K1138</x:f>
        <x:v>640</x:v>
      </x:c>
      <x:c r="P1138" s="1" t="str">
        <x:f>TEXT(B1138,"yyyy-mm")</x:f>
        <x:v>2025-01</x:v>
      </x:c>
    </x:row>
    <x:row r="1139">
      <x:c r="A1139" s="1" t="str">
        <x:v>ORD-1135</x:v>
      </x:c>
      <x:c r="B1139" s="4" t="d">
        <x:v>2025-06-09T00:00:00.000Z</x:v>
      </x:c>
      <x:c r="C1139" s="1" t="str">
        <x:v>C-196</x:v>
      </x:c>
      <x:c r="D1139" s="1" t="str">
        <x:v>North</x:v>
      </x:c>
      <x:c r="E1139" s="1" t="str">
        <x:v>Home</x:v>
      </x:c>
      <x:c r="F1139" s="1" t="str">
        <x:v>Desk lamp</x:v>
      </x:c>
      <x:c r="G1139" s="1" t="n">
        <x:v>2</x:v>
      </x:c>
      <x:c r="H1139" s="2" t="n">
        <x:v>1100</x:v>
      </x:c>
      <x:c r="I1139" s="3" t="n">
        <x:v>0.1</x:v>
      </x:c>
      <x:c r="J1139" s="2" t="n">
        <x:v>650</x:v>
      </x:c>
      <x:c r="K1139" s="2" t="n">
        <x:v>80</x:v>
      </x:c>
      <x:c r="L1139" s="2" t="n">
        <x:f>G1139*H1139</x:f>
        <x:v>2200</x:v>
      </x:c>
      <x:c r="M1139" s="2" t="n">
        <x:f>ROUND(L1139*(1-I1139),2)</x:f>
        <x:v>1980</x:v>
      </x:c>
      <x:c r="N1139" s="2" t="n">
        <x:f>G1139*J1139</x:f>
        <x:v>1300</x:v>
      </x:c>
      <x:c r="O1139" s="2" t="n">
        <x:f>M1139-N1139-K1139</x:f>
        <x:v>600</x:v>
      </x:c>
      <x:c r="P1139" s="1" t="str">
        <x:f>TEXT(B1139,"yyyy-mm")</x:f>
        <x:v>2025-06</x:v>
      </x:c>
    </x:row>
    <x:row r="1140">
      <x:c r="A1140" s="1" t="str">
        <x:v>ORD-1136</x:v>
      </x:c>
      <x:c r="B1140" s="4" t="d">
        <x:v>2025-04-29T00:00:00.000Z</x:v>
      </x:c>
      <x:c r="C1140" s="1" t="str">
        <x:v>C-043</x:v>
      </x:c>
      <x:c r="D1140" s="1" t="str">
        <x:v>East</x:v>
      </x:c>
      <x:c r="E1140" s="1" t="str">
        <x:v>Electronics</x:v>
      </x:c>
      <x:c r="F1140" s="1" t="str">
        <x:v>Keyboard</x:v>
      </x:c>
      <x:c r="G1140" s="1" t="n">
        <x:v>1</x:v>
      </x:c>
      <x:c r="H1140" s="2" t="n">
        <x:v>1500</x:v>
      </x:c>
      <x:c r="I1140" s="3" t="n">
        <x:v>0.1</x:v>
      </x:c>
      <x:c r="J1140" s="2" t="n">
        <x:v>900</x:v>
      </x:c>
      <x:c r="K1140" s="2" t="n">
        <x:v>80</x:v>
      </x:c>
      <x:c r="L1140" s="2" t="n">
        <x:f>G1140*H1140</x:f>
        <x:v>1500</x:v>
      </x:c>
      <x:c r="M1140" s="2" t="n">
        <x:f>ROUND(L1140*(1-I1140),2)</x:f>
        <x:v>1350</x:v>
      </x:c>
      <x:c r="N1140" s="2" t="n">
        <x:f>G1140*J1140</x:f>
        <x:v>900</x:v>
      </x:c>
      <x:c r="O1140" s="2" t="n">
        <x:f>M1140-N1140-K1140</x:f>
        <x:v>370</x:v>
      </x:c>
      <x:c r="P1140" s="1" t="str">
        <x:f>TEXT(B1140,"yyyy-mm")</x:f>
        <x:v>2025-04</x:v>
      </x:c>
    </x:row>
    <x:row r="1141">
      <x:c r="A1141" s="1" t="str">
        <x:v>ORD-1137</x:v>
      </x:c>
      <x:c r="B1141" s="4" t="d">
        <x:v>2025-12-03T00:00:00.000Z</x:v>
      </x:c>
      <x:c r="C1141" s="1" t="str">
        <x:v>C-185</x:v>
      </x:c>
      <x:c r="D1141" s="1" t="str">
        <x:v>North</x:v>
      </x:c>
      <x:c r="E1141" s="1" t="str">
        <x:v>Electronics</x:v>
      </x:c>
      <x:c r="F1141" s="1" t="str">
        <x:v>Keyboard</x:v>
      </x:c>
      <x:c r="G1141" s="1" t="n">
        <x:v>2</x:v>
      </x:c>
      <x:c r="H1141" s="2" t="n">
        <x:v>1500</x:v>
      </x:c>
      <x:c r="I1141" s="3" t="n">
        <x:v>0</x:v>
      </x:c>
      <x:c r="J1141" s="2" t="n">
        <x:v>900</x:v>
      </x:c>
      <x:c r="K1141" s="2" t="n">
        <x:v>80</x:v>
      </x:c>
      <x:c r="L1141" s="2" t="n">
        <x:f>G1141*H1141</x:f>
        <x:v>3000</x:v>
      </x:c>
      <x:c r="M1141" s="2" t="n">
        <x:f>ROUND(L1141*(1-I1141),2)</x:f>
        <x:v>3000</x:v>
      </x:c>
      <x:c r="N1141" s="2" t="n">
        <x:f>G1141*J1141</x:f>
        <x:v>1800</x:v>
      </x:c>
      <x:c r="O1141" s="2" t="n">
        <x:f>M1141-N1141-K1141</x:f>
        <x:v>1120</x:v>
      </x:c>
      <x:c r="P1141" s="1" t="str">
        <x:f>TEXT(B1141,"yyyy-mm")</x:f>
        <x:v>2025-12</x:v>
      </x:c>
    </x:row>
    <x:row r="1142">
      <x:c r="A1142" s="1" t="str">
        <x:v>ORD-1138</x:v>
      </x:c>
      <x:c r="B1142" s="4" t="d">
        <x:v>2025-04-10T00:00:00.000Z</x:v>
      </x:c>
      <x:c r="C1142" s="1" t="str">
        <x:v>C-141</x:v>
      </x:c>
      <x:c r="D1142" s="1" t="str">
        <x:v>South</x:v>
      </x:c>
      <x:c r="E1142" s="1" t="str">
        <x:v>Fashion</x:v>
      </x:c>
      <x:c r="F1142" s="1" t="str">
        <x:v>Backpack</x:v>
      </x:c>
      <x:c r="G1142" s="1" t="n">
        <x:v>2</x:v>
      </x:c>
      <x:c r="H1142" s="2" t="n">
        <x:v>1300</x:v>
      </x:c>
      <x:c r="I1142" s="3" t="n">
        <x:v>0.1</x:v>
      </x:c>
      <x:c r="J1142" s="2" t="n">
        <x:v>650</x:v>
      </x:c>
      <x:c r="K1142" s="2" t="n">
        <x:v>120</x:v>
      </x:c>
      <x:c r="L1142" s="2" t="n">
        <x:f>G1142*H1142</x:f>
        <x:v>2600</x:v>
      </x:c>
      <x:c r="M1142" s="2" t="n">
        <x:f>ROUND(L1142*(1-I1142),2)</x:f>
        <x:v>2340</x:v>
      </x:c>
      <x:c r="N1142" s="2" t="n">
        <x:f>G1142*J1142</x:f>
        <x:v>1300</x:v>
      </x:c>
      <x:c r="O1142" s="2" t="n">
        <x:f>M1142-N1142-K1142</x:f>
        <x:v>920</x:v>
      </x:c>
      <x:c r="P1142" s="1" t="str">
        <x:f>TEXT(B1142,"yyyy-mm")</x:f>
        <x:v>2025-04</x:v>
      </x:c>
    </x:row>
    <x:row r="1143">
      <x:c r="A1143" s="1" t="str">
        <x:v>ORD-1139</x:v>
      </x:c>
      <x:c r="B1143" s="4" t="d">
        <x:v>2025-10-25T00:00:00.000Z</x:v>
      </x:c>
      <x:c r="C1143" s="1" t="str">
        <x:v>C-154</x:v>
      </x:c>
      <x:c r="D1143" s="1" t="str">
        <x:v>East</x:v>
      </x:c>
      <x:c r="E1143" s="1" t="str">
        <x:v>Fashion</x:v>
      </x:c>
      <x:c r="F1143" s="1" t="str">
        <x:v>Sneakers</x:v>
      </x:c>
      <x:c r="G1143" s="1" t="n">
        <x:v>3</x:v>
      </x:c>
      <x:c r="H1143" s="2" t="n">
        <x:v>2400</x:v>
      </x:c>
      <x:c r="I1143" s="3" t="n">
        <x:v>0</x:v>
      </x:c>
      <x:c r="J1143" s="2" t="n">
        <x:v>1200</x:v>
      </x:c>
      <x:c r="K1143" s="2" t="n">
        <x:v>80</x:v>
      </x:c>
      <x:c r="L1143" s="2" t="n">
        <x:f>G1143*H1143</x:f>
        <x:v>7200</x:v>
      </x:c>
      <x:c r="M1143" s="2" t="n">
        <x:f>ROUND(L1143*(1-I1143),2)</x:f>
        <x:v>7200</x:v>
      </x:c>
      <x:c r="N1143" s="2" t="n">
        <x:f>G1143*J1143</x:f>
        <x:v>3600</x:v>
      </x:c>
      <x:c r="O1143" s="2" t="n">
        <x:f>M1143-N1143-K1143</x:f>
        <x:v>3520</x:v>
      </x:c>
      <x:c r="P1143" s="1" t="str">
        <x:f>TEXT(B1143,"yyyy-mm")</x:f>
        <x:v>2025-10</x:v>
      </x:c>
    </x:row>
    <x:row r="1144">
      <x:c r="A1144" s="1" t="str">
        <x:v>ORD-1140</x:v>
      </x:c>
      <x:c r="B1144" s="4" t="d">
        <x:v>2025-12-21T00:00:00.000Z</x:v>
      </x:c>
      <x:c r="C1144" s="1" t="str">
        <x:v>C-263</x:v>
      </x:c>
      <x:c r="D1144" s="1" t="str">
        <x:v>South</x:v>
      </x:c>
      <x:c r="E1144" s="1" t="str">
        <x:v>Electronics</x:v>
      </x:c>
      <x:c r="F1144" s="1" t="str">
        <x:v>Headphones</x:v>
      </x:c>
      <x:c r="G1144" s="1" t="n">
        <x:v>4</x:v>
      </x:c>
      <x:c r="H1144" s="2" t="n">
        <x:v>2200</x:v>
      </x:c>
      <x:c r="I1144" s="3" t="n">
        <x:v>0.15</x:v>
      </x:c>
      <x:c r="J1144" s="2" t="n">
        <x:v>1450</x:v>
      </x:c>
      <x:c r="K1144" s="2" t="n">
        <x:v>50</x:v>
      </x:c>
      <x:c r="L1144" s="2" t="n">
        <x:f>G1144*H1144</x:f>
        <x:v>8800</x:v>
      </x:c>
      <x:c r="M1144" s="2" t="n">
        <x:f>ROUND(L1144*(1-I1144),2)</x:f>
        <x:v>7480</x:v>
      </x:c>
      <x:c r="N1144" s="2" t="n">
        <x:f>G1144*J1144</x:f>
        <x:v>5800</x:v>
      </x:c>
      <x:c r="O1144" s="2" t="n">
        <x:f>M1144-N1144-K1144</x:f>
        <x:v>1630</x:v>
      </x:c>
      <x:c r="P1144" s="1" t="str">
        <x:f>TEXT(B1144,"yyyy-mm")</x:f>
        <x:v>2025-12</x:v>
      </x:c>
    </x:row>
    <x:row r="1145">
      <x:c r="A1145" s="1" t="str">
        <x:v>ORD-1141</x:v>
      </x:c>
      <x:c r="B1145" s="4" t="d">
        <x:v>2025-04-08T00:00:00.000Z</x:v>
      </x:c>
      <x:c r="C1145" s="1" t="str">
        <x:v>C-265</x:v>
      </x:c>
      <x:c r="D1145" s="1" t="str">
        <x:v>West</x:v>
      </x:c>
      <x:c r="E1145" s="1" t="str">
        <x:v>Fashion</x:v>
      </x:c>
      <x:c r="F1145" s="1" t="str">
        <x:v>T-shirt</x:v>
      </x:c>
      <x:c r="G1145" s="1" t="n">
        <x:v>4</x:v>
      </x:c>
      <x:c r="H1145" s="2" t="n">
        <x:v>700</x:v>
      </x:c>
      <x:c r="I1145" s="3" t="n">
        <x:v>0.15</x:v>
      </x:c>
      <x:c r="J1145" s="2" t="n">
        <x:v>300</x:v>
      </x:c>
      <x:c r="K1145" s="2" t="n">
        <x:v>80</x:v>
      </x:c>
      <x:c r="L1145" s="2" t="n">
        <x:f>G1145*H1145</x:f>
        <x:v>2800</x:v>
      </x:c>
      <x:c r="M1145" s="2" t="n">
        <x:f>ROUND(L1145*(1-I1145),2)</x:f>
        <x:v>2380</x:v>
      </x:c>
      <x:c r="N1145" s="2" t="n">
        <x:f>G1145*J1145</x:f>
        <x:v>1200</x:v>
      </x:c>
      <x:c r="O1145" s="2" t="n">
        <x:f>M1145-N1145-K1145</x:f>
        <x:v>1100</x:v>
      </x:c>
      <x:c r="P1145" s="1" t="str">
        <x:f>TEXT(B1145,"yyyy-mm")</x:f>
        <x:v>2025-04</x:v>
      </x:c>
    </x:row>
    <x:row r="1146">
      <x:c r="A1146" s="1" t="str">
        <x:v>ORD-1142</x:v>
      </x:c>
      <x:c r="B1146" s="4" t="d">
        <x:v>2025-11-14T00:00:00.000Z</x:v>
      </x:c>
      <x:c r="C1146" s="1" t="str">
        <x:v>C-214</x:v>
      </x:c>
      <x:c r="D1146" s="1" t="str">
        <x:v>South</x:v>
      </x:c>
      <x:c r="E1146" s="1" t="str">
        <x:v>Fashion</x:v>
      </x:c>
      <x:c r="F1146" s="1" t="str">
        <x:v>Backpack</x:v>
      </x:c>
      <x:c r="G1146" s="1" t="n">
        <x:v>4</x:v>
      </x:c>
      <x:c r="H1146" s="2" t="n">
        <x:v>1300</x:v>
      </x:c>
      <x:c r="I1146" s="3" t="n">
        <x:v>0.05</x:v>
      </x:c>
      <x:c r="J1146" s="2" t="n">
        <x:v>650</x:v>
      </x:c>
      <x:c r="K1146" s="2" t="n">
        <x:v>80</x:v>
      </x:c>
      <x:c r="L1146" s="2" t="n">
        <x:f>G1146*H1146</x:f>
        <x:v>5200</x:v>
      </x:c>
      <x:c r="M1146" s="2" t="n">
        <x:f>ROUND(L1146*(1-I1146),2)</x:f>
        <x:v>4940</x:v>
      </x:c>
      <x:c r="N1146" s="2" t="n">
        <x:f>G1146*J1146</x:f>
        <x:v>2600</x:v>
      </x:c>
      <x:c r="O1146" s="2" t="n">
        <x:f>M1146-N1146-K1146</x:f>
        <x:v>2260</x:v>
      </x:c>
      <x:c r="P1146" s="1" t="str">
        <x:f>TEXT(B1146,"yyyy-mm")</x:f>
        <x:v>2025-11</x:v>
      </x:c>
    </x:row>
    <x:row r="1147">
      <x:c r="A1147" s="1" t="str">
        <x:v>ORD-1143</x:v>
      </x:c>
      <x:c r="B1147" s="4" t="d">
        <x:v>2025-11-05T00:00:00.000Z</x:v>
      </x:c>
      <x:c r="C1147" s="1" t="str">
        <x:v>C-296</x:v>
      </x:c>
      <x:c r="D1147" s="1" t="str">
        <x:v>South</x:v>
      </x:c>
      <x:c r="E1147" s="1" t="str">
        <x:v>Electronics</x:v>
      </x:c>
      <x:c r="F1147" s="1" t="str">
        <x:v>Headphones</x:v>
      </x:c>
      <x:c r="G1147" s="1" t="n">
        <x:v>3</x:v>
      </x:c>
      <x:c r="H1147" s="2" t="n">
        <x:v>2200</x:v>
      </x:c>
      <x:c r="I1147" s="3" t="n">
        <x:v>0.1</x:v>
      </x:c>
      <x:c r="J1147" s="2" t="n">
        <x:v>1450</x:v>
      </x:c>
      <x:c r="K1147" s="2" t="n">
        <x:v>120</x:v>
      </x:c>
      <x:c r="L1147" s="2" t="n">
        <x:f>G1147*H1147</x:f>
        <x:v>6600</x:v>
      </x:c>
      <x:c r="M1147" s="2" t="n">
        <x:f>ROUND(L1147*(1-I1147),2)</x:f>
        <x:v>5940</x:v>
      </x:c>
      <x:c r="N1147" s="2" t="n">
        <x:f>G1147*J1147</x:f>
        <x:v>4350</x:v>
      </x:c>
      <x:c r="O1147" s="2" t="n">
        <x:f>M1147-N1147-K1147</x:f>
        <x:v>1470</x:v>
      </x:c>
      <x:c r="P1147" s="1" t="str">
        <x:f>TEXT(B1147,"yyyy-mm")</x:f>
        <x:v>2025-11</x:v>
      </x:c>
    </x:row>
    <x:row r="1148">
      <x:c r="A1148" s="1" t="str">
        <x:v>ORD-1144</x:v>
      </x:c>
      <x:c r="B1148" s="4" t="d">
        <x:v>2025-01-08T00:00:00.000Z</x:v>
      </x:c>
      <x:c r="C1148" s="1" t="str">
        <x:v>C-215</x:v>
      </x:c>
      <x:c r="D1148" s="1" t="str">
        <x:v>West</x:v>
      </x:c>
      <x:c r="E1148" s="1" t="str">
        <x:v>Fashion</x:v>
      </x:c>
      <x:c r="F1148" s="1" t="str">
        <x:v>Backpack</x:v>
      </x:c>
      <x:c r="G1148" s="1" t="n">
        <x:v>4</x:v>
      </x:c>
      <x:c r="H1148" s="2" t="n">
        <x:v>1300</x:v>
      </x:c>
      <x:c r="I1148" s="3" t="n">
        <x:v>0.1</x:v>
      </x:c>
      <x:c r="J1148" s="2" t="n">
        <x:v>650</x:v>
      </x:c>
      <x:c r="K1148" s="2" t="n">
        <x:v>120</x:v>
      </x:c>
      <x:c r="L1148" s="2" t="n">
        <x:f>G1148*H1148</x:f>
        <x:v>5200</x:v>
      </x:c>
      <x:c r="M1148" s="2" t="n">
        <x:f>ROUND(L1148*(1-I1148),2)</x:f>
        <x:v>4680</x:v>
      </x:c>
      <x:c r="N1148" s="2" t="n">
        <x:f>G1148*J1148</x:f>
        <x:v>2600</x:v>
      </x:c>
      <x:c r="O1148" s="2" t="n">
        <x:f>M1148-N1148-K1148</x:f>
        <x:v>1960</x:v>
      </x:c>
      <x:c r="P1148" s="1" t="str">
        <x:f>TEXT(B1148,"yyyy-mm")</x:f>
        <x:v>2025-01</x:v>
      </x:c>
    </x:row>
    <x:row r="1149">
      <x:c r="A1149" s="1" t="str">
        <x:v>ORD-1145</x:v>
      </x:c>
      <x:c r="B1149" s="4" t="d">
        <x:v>2025-08-01T00:00:00.000Z</x:v>
      </x:c>
      <x:c r="C1149" s="1" t="str">
        <x:v>C-291</x:v>
      </x:c>
      <x:c r="D1149" s="1" t="str">
        <x:v>North</x:v>
      </x:c>
      <x:c r="E1149" s="1" t="str">
        <x:v>Fashion</x:v>
      </x:c>
      <x:c r="F1149" s="1" t="str">
        <x:v>Backpack</x:v>
      </x:c>
      <x:c r="G1149" s="1" t="n">
        <x:v>2</x:v>
      </x:c>
      <x:c r="H1149" s="2" t="n">
        <x:v>1300</x:v>
      </x:c>
      <x:c r="I1149" s="3" t="n">
        <x:v>0.25</x:v>
      </x:c>
      <x:c r="J1149" s="2" t="n">
        <x:v>650</x:v>
      </x:c>
      <x:c r="K1149" s="2" t="n">
        <x:v>50</x:v>
      </x:c>
      <x:c r="L1149" s="2" t="n">
        <x:f>G1149*H1149</x:f>
        <x:v>2600</x:v>
      </x:c>
      <x:c r="M1149" s="2" t="n">
        <x:f>ROUND(L1149*(1-I1149),2)</x:f>
        <x:v>1950</x:v>
      </x:c>
      <x:c r="N1149" s="2" t="n">
        <x:f>G1149*J1149</x:f>
        <x:v>1300</x:v>
      </x:c>
      <x:c r="O1149" s="2" t="n">
        <x:f>M1149-N1149-K1149</x:f>
        <x:v>600</x:v>
      </x:c>
      <x:c r="P1149" s="1" t="str">
        <x:f>TEXT(B1149,"yyyy-mm")</x:f>
        <x:v>2025-08</x:v>
      </x:c>
    </x:row>
    <x:row r="1150">
      <x:c r="A1150" s="1" t="str">
        <x:v>ORD-1146</x:v>
      </x:c>
      <x:c r="B1150" s="4" t="d">
        <x:v>2025-12-21T00:00:00.000Z</x:v>
      </x:c>
      <x:c r="C1150" s="1" t="str">
        <x:v>C-294</x:v>
      </x:c>
      <x:c r="D1150" s="1" t="str">
        <x:v>West</x:v>
      </x:c>
      <x:c r="E1150" s="1" t="str">
        <x:v>Fashion</x:v>
      </x:c>
      <x:c r="F1150" s="1" t="str">
        <x:v>Backpack</x:v>
      </x:c>
      <x:c r="G1150" s="1" t="n">
        <x:v>4</x:v>
      </x:c>
      <x:c r="H1150" s="2" t="n">
        <x:v>1300</x:v>
      </x:c>
      <x:c r="I1150" s="3" t="n">
        <x:v>0.25</x:v>
      </x:c>
      <x:c r="J1150" s="2" t="n">
        <x:v>650</x:v>
      </x:c>
      <x:c r="K1150" s="2" t="n">
        <x:v>50</x:v>
      </x:c>
      <x:c r="L1150" s="2" t="n">
        <x:f>G1150*H1150</x:f>
        <x:v>5200</x:v>
      </x:c>
      <x:c r="M1150" s="2" t="n">
        <x:f>ROUND(L1150*(1-I1150),2)</x:f>
        <x:v>3900</x:v>
      </x:c>
      <x:c r="N1150" s="2" t="n">
        <x:f>G1150*J1150</x:f>
        <x:v>2600</x:v>
      </x:c>
      <x:c r="O1150" s="2" t="n">
        <x:f>M1150-N1150-K1150</x:f>
        <x:v>1250</x:v>
      </x:c>
      <x:c r="P1150" s="1" t="str">
        <x:f>TEXT(B1150,"yyyy-mm")</x:f>
        <x:v>2025-12</x:v>
      </x:c>
    </x:row>
    <x:row r="1151">
      <x:c r="A1151" s="1" t="str">
        <x:v>ORD-1147</x:v>
      </x:c>
      <x:c r="B1151" s="4" t="d">
        <x:v>2025-12-13T00:00:00.000Z</x:v>
      </x:c>
      <x:c r="C1151" s="1" t="str">
        <x:v>C-097</x:v>
      </x:c>
      <x:c r="D1151" s="1" t="str">
        <x:v>West</x:v>
      </x:c>
      <x:c r="E1151" s="1" t="str">
        <x:v>Electronics</x:v>
      </x:c>
      <x:c r="F1151" s="1" t="str">
        <x:v>Keyboard</x:v>
      </x:c>
      <x:c r="G1151" s="1" t="n">
        <x:v>1</x:v>
      </x:c>
      <x:c r="H1151" s="2" t="n">
        <x:v>1500</x:v>
      </x:c>
      <x:c r="I1151" s="3" t="n">
        <x:v>0.25</x:v>
      </x:c>
      <x:c r="J1151" s="2" t="n">
        <x:v>900</x:v>
      </x:c>
      <x:c r="K1151" s="2" t="n">
        <x:v>80</x:v>
      </x:c>
      <x:c r="L1151" s="2" t="n">
        <x:f>G1151*H1151</x:f>
        <x:v>1500</x:v>
      </x:c>
      <x:c r="M1151" s="2" t="n">
        <x:f>ROUND(L1151*(1-I1151),2)</x:f>
        <x:v>1125</x:v>
      </x:c>
      <x:c r="N1151" s="2" t="n">
        <x:f>G1151*J1151</x:f>
        <x:v>900</x:v>
      </x:c>
      <x:c r="O1151" s="2" t="n">
        <x:f>M1151-N1151-K1151</x:f>
        <x:v>145</x:v>
      </x:c>
      <x:c r="P1151" s="1" t="str">
        <x:f>TEXT(B1151,"yyyy-mm")</x:f>
        <x:v>2025-12</x:v>
      </x:c>
    </x:row>
    <x:row r="1152">
      <x:c r="A1152" s="1" t="str">
        <x:v>ORD-1148</x:v>
      </x:c>
      <x:c r="B1152" s="4" t="d">
        <x:v>2025-08-29T00:00:00.000Z</x:v>
      </x:c>
      <x:c r="C1152" s="1" t="str">
        <x:v>C-156</x:v>
      </x:c>
      <x:c r="D1152" s="1" t="str">
        <x:v>North</x:v>
      </x:c>
      <x:c r="E1152" s="1" t="str">
        <x:v>Home</x:v>
      </x:c>
      <x:c r="F1152" s="1" t="str">
        <x:v>Desk lamp</x:v>
      </x:c>
      <x:c r="G1152" s="1" t="n">
        <x:v>2</x:v>
      </x:c>
      <x:c r="H1152" s="2" t="n">
        <x:v>1100</x:v>
      </x:c>
      <x:c r="I1152" s="3" t="n">
        <x:v>0.35</x:v>
      </x:c>
      <x:c r="J1152" s="2" t="n">
        <x:v>650</x:v>
      </x:c>
      <x:c r="K1152" s="2" t="n">
        <x:v>50</x:v>
      </x:c>
      <x:c r="L1152" s="2" t="n">
        <x:f>G1152*H1152</x:f>
        <x:v>2200</x:v>
      </x:c>
      <x:c r="M1152" s="2" t="n">
        <x:f>ROUND(L1152*(1-I1152),2)</x:f>
        <x:v>1430</x:v>
      </x:c>
      <x:c r="N1152" s="2" t="n">
        <x:f>G1152*J1152</x:f>
        <x:v>1300</x:v>
      </x:c>
      <x:c r="O1152" s="2" t="n">
        <x:f>M1152-N1152-K1152</x:f>
        <x:v>80</x:v>
      </x:c>
      <x:c r="P1152" s="1" t="str">
        <x:f>TEXT(B1152,"yyyy-mm")</x:f>
        <x:v>2025-08</x:v>
      </x:c>
    </x:row>
    <x:row r="1153">
      <x:c r="A1153" s="1" t="str">
        <x:v>ORD-1149</x:v>
      </x:c>
      <x:c r="B1153" s="4" t="d">
        <x:v>2025-10-27T00:00:00.000Z</x:v>
      </x:c>
      <x:c r="C1153" s="1" t="str">
        <x:v>C-251</x:v>
      </x:c>
      <x:c r="D1153" s="1" t="str">
        <x:v>North</x:v>
      </x:c>
      <x:c r="E1153" s="1" t="str">
        <x:v>Electronics</x:v>
      </x:c>
      <x:c r="F1153" s="1" t="str">
        <x:v>Smartwatch</x:v>
      </x:c>
      <x:c r="G1153" s="1" t="n">
        <x:v>2</x:v>
      </x:c>
      <x:c r="H1153" s="2" t="n">
        <x:v>4200</x:v>
      </x:c>
      <x:c r="I1153" s="3" t="n">
        <x:v>0</x:v>
      </x:c>
      <x:c r="J1153" s="2" t="n">
        <x:v>3000</x:v>
      </x:c>
      <x:c r="K1153" s="2" t="n">
        <x:v>50</x:v>
      </x:c>
      <x:c r="L1153" s="2" t="n">
        <x:f>G1153*H1153</x:f>
        <x:v>8400</x:v>
      </x:c>
      <x:c r="M1153" s="2" t="n">
        <x:f>ROUND(L1153*(1-I1153),2)</x:f>
        <x:v>8400</x:v>
      </x:c>
      <x:c r="N1153" s="2" t="n">
        <x:f>G1153*J1153</x:f>
        <x:v>6000</x:v>
      </x:c>
      <x:c r="O1153" s="2" t="n">
        <x:f>M1153-N1153-K1153</x:f>
        <x:v>2350</x:v>
      </x:c>
      <x:c r="P1153" s="1" t="str">
        <x:f>TEXT(B1153,"yyyy-mm")</x:f>
        <x:v>2025-10</x:v>
      </x:c>
    </x:row>
    <x:row r="1154">
      <x:c r="A1154" s="1" t="str">
        <x:v>ORD-1150</x:v>
      </x:c>
      <x:c r="B1154" s="4" t="d">
        <x:v>2025-02-07T00:00:00.000Z</x:v>
      </x:c>
      <x:c r="C1154" s="1" t="str">
        <x:v>C-120</x:v>
      </x:c>
      <x:c r="D1154" s="1" t="str">
        <x:v>East</x:v>
      </x:c>
      <x:c r="E1154" s="1" t="str">
        <x:v>Home</x:v>
      </x:c>
      <x:c r="F1154" s="1" t="str">
        <x:v>Office chair</x:v>
      </x:c>
      <x:c r="G1154" s="1" t="n">
        <x:v>1</x:v>
      </x:c>
      <x:c r="H1154" s="2" t="n">
        <x:v>5500</x:v>
      </x:c>
      <x:c r="I1154" s="3" t="n">
        <x:v>0.1</x:v>
      </x:c>
      <x:c r="J1154" s="2" t="n">
        <x:v>4400</x:v>
      </x:c>
      <x:c r="K1154" s="2" t="n">
        <x:v>80</x:v>
      </x:c>
      <x:c r="L1154" s="2" t="n">
        <x:f>G1154*H1154</x:f>
        <x:v>5500</x:v>
      </x:c>
      <x:c r="M1154" s="2" t="n">
        <x:f>ROUND(L1154*(1-I1154),2)</x:f>
        <x:v>4950</x:v>
      </x:c>
      <x:c r="N1154" s="2" t="n">
        <x:f>G1154*J1154</x:f>
        <x:v>4400</x:v>
      </x:c>
      <x:c r="O1154" s="2" t="n">
        <x:f>M1154-N1154-K1154</x:f>
        <x:v>470</x:v>
      </x:c>
      <x:c r="P1154" s="1" t="str">
        <x:f>TEXT(B1154,"yyyy-mm")</x:f>
        <x:v>2025-02</x:v>
      </x:c>
    </x:row>
    <x:row r="1155">
      <x:c r="A1155" s="1" t="str">
        <x:v>ORD-1151</x:v>
      </x:c>
      <x:c r="B1155" s="4" t="d">
        <x:v>2025-01-06T00:00:00.000Z</x:v>
      </x:c>
      <x:c r="C1155" s="1" t="str">
        <x:v>C-168</x:v>
      </x:c>
      <x:c r="D1155" s="1" t="str">
        <x:v>West</x:v>
      </x:c>
      <x:c r="E1155" s="1" t="str">
        <x:v>Home</x:v>
      </x:c>
      <x:c r="F1155" s="1" t="str">
        <x:v>Storage box</x:v>
      </x:c>
      <x:c r="G1155" s="1" t="n">
        <x:v>4</x:v>
      </x:c>
      <x:c r="H1155" s="2" t="n">
        <x:v>800</x:v>
      </x:c>
      <x:c r="I1155" s="3" t="n">
        <x:v>0</x:v>
      </x:c>
      <x:c r="J1155" s="2" t="n">
        <x:v>420</x:v>
      </x:c>
      <x:c r="K1155" s="2" t="n">
        <x:v>50</x:v>
      </x:c>
      <x:c r="L1155" s="2" t="n">
        <x:f>G1155*H1155</x:f>
        <x:v>3200</x:v>
      </x:c>
      <x:c r="M1155" s="2" t="n">
        <x:f>ROUND(L1155*(1-I1155),2)</x:f>
        <x:v>3200</x:v>
      </x:c>
      <x:c r="N1155" s="2" t="n">
        <x:f>G1155*J1155</x:f>
        <x:v>1680</x:v>
      </x:c>
      <x:c r="O1155" s="2" t="n">
        <x:f>M1155-N1155-K1155</x:f>
        <x:v>1470</x:v>
      </x:c>
      <x:c r="P1155" s="1" t="str">
        <x:f>TEXT(B1155,"yyyy-mm")</x:f>
        <x:v>2025-01</x:v>
      </x:c>
    </x:row>
    <x:row r="1156">
      <x:c r="A1156" s="1" t="str">
        <x:v>ORD-1152</x:v>
      </x:c>
      <x:c r="B1156" s="4" t="d">
        <x:v>2025-12-14T00:00:00.000Z</x:v>
      </x:c>
      <x:c r="C1156" s="1" t="str">
        <x:v>C-245</x:v>
      </x:c>
      <x:c r="D1156" s="1" t="str">
        <x:v>North</x:v>
      </x:c>
      <x:c r="E1156" s="1" t="str">
        <x:v>Electronics</x:v>
      </x:c>
      <x:c r="F1156" s="1" t="str">
        <x:v>Smartwatch</x:v>
      </x:c>
      <x:c r="G1156" s="1" t="n">
        <x:v>4</x:v>
      </x:c>
      <x:c r="H1156" s="2" t="n">
        <x:v>4200</x:v>
      </x:c>
      <x:c r="I1156" s="3" t="n">
        <x:v>0.25</x:v>
      </x:c>
      <x:c r="J1156" s="2" t="n">
        <x:v>3000</x:v>
      </x:c>
      <x:c r="K1156" s="2" t="n">
        <x:v>50</x:v>
      </x:c>
      <x:c r="L1156" s="2" t="n">
        <x:f>G1156*H1156</x:f>
        <x:v>16800</x:v>
      </x:c>
      <x:c r="M1156" s="2" t="n">
        <x:f>ROUND(L1156*(1-I1156),2)</x:f>
        <x:v>12600</x:v>
      </x:c>
      <x:c r="N1156" s="2" t="n">
        <x:f>G1156*J1156</x:f>
        <x:v>12000</x:v>
      </x:c>
      <x:c r="O1156" s="2" t="n">
        <x:f>M1156-N1156-K1156</x:f>
        <x:v>550</x:v>
      </x:c>
      <x:c r="P1156" s="1" t="str">
        <x:f>TEXT(B1156,"yyyy-mm")</x:f>
        <x:v>2025-12</x:v>
      </x:c>
    </x:row>
    <x:row r="1157">
      <x:c r="A1157" s="1" t="str">
        <x:v>ORD-1153</x:v>
      </x:c>
      <x:c r="B1157" s="4" t="d">
        <x:v>2025-03-14T00:00:00.000Z</x:v>
      </x:c>
      <x:c r="C1157" s="1" t="str">
        <x:v>C-244</x:v>
      </x:c>
      <x:c r="D1157" s="1" t="str">
        <x:v>South</x:v>
      </x:c>
      <x:c r="E1157" s="1" t="str">
        <x:v>Fashion</x:v>
      </x:c>
      <x:c r="F1157" s="1" t="str">
        <x:v>T-shirt</x:v>
      </x:c>
      <x:c r="G1157" s="1" t="n">
        <x:v>3</x:v>
      </x:c>
      <x:c r="H1157" s="2" t="n">
        <x:v>700</x:v>
      </x:c>
      <x:c r="I1157" s="3" t="n">
        <x:v>0.1</x:v>
      </x:c>
      <x:c r="J1157" s="2" t="n">
        <x:v>300</x:v>
      </x:c>
      <x:c r="K1157" s="2" t="n">
        <x:v>120</x:v>
      </x:c>
      <x:c r="L1157" s="2" t="n">
        <x:f>G1157*H1157</x:f>
        <x:v>2100</x:v>
      </x:c>
      <x:c r="M1157" s="2" t="n">
        <x:f>ROUND(L1157*(1-I1157),2)</x:f>
        <x:v>1890</x:v>
      </x:c>
      <x:c r="N1157" s="2" t="n">
        <x:f>G1157*J1157</x:f>
        <x:v>900</x:v>
      </x:c>
      <x:c r="O1157" s="2" t="n">
        <x:f>M1157-N1157-K1157</x:f>
        <x:v>870</x:v>
      </x:c>
      <x:c r="P1157" s="1" t="str">
        <x:f>TEXT(B1157,"yyyy-mm")</x:f>
        <x:v>2025-03</x:v>
      </x:c>
    </x:row>
    <x:row r="1158">
      <x:c r="A1158" s="1" t="str">
        <x:v>ORD-1154</x:v>
      </x:c>
      <x:c r="B1158" s="4" t="d">
        <x:v>2025-04-07T00:00:00.000Z</x:v>
      </x:c>
      <x:c r="C1158" s="1" t="str">
        <x:v>C-004</x:v>
      </x:c>
      <x:c r="D1158" s="1" t="str">
        <x:v>South</x:v>
      </x:c>
      <x:c r="E1158" s="1" t="str">
        <x:v>Home</x:v>
      </x:c>
      <x:c r="F1158" s="1" t="str">
        <x:v>Desk lamp</x:v>
      </x:c>
      <x:c r="G1158" s="1" t="n">
        <x:v>4</x:v>
      </x:c>
      <x:c r="H1158" s="2" t="n">
        <x:v>1100</x:v>
      </x:c>
      <x:c r="I1158" s="3" t="n">
        <x:v>0.1</x:v>
      </x:c>
      <x:c r="J1158" s="2" t="n">
        <x:v>650</x:v>
      </x:c>
      <x:c r="K1158" s="2" t="n">
        <x:v>50</x:v>
      </x:c>
      <x:c r="L1158" s="2" t="n">
        <x:f>G1158*H1158</x:f>
        <x:v>4400</x:v>
      </x:c>
      <x:c r="M1158" s="2" t="n">
        <x:f>ROUND(L1158*(1-I1158),2)</x:f>
        <x:v>3960</x:v>
      </x:c>
      <x:c r="N1158" s="2" t="n">
        <x:f>G1158*J1158</x:f>
        <x:v>2600</x:v>
      </x:c>
      <x:c r="O1158" s="2" t="n">
        <x:f>M1158-N1158-K1158</x:f>
        <x:v>1310</x:v>
      </x:c>
      <x:c r="P1158" s="1" t="str">
        <x:f>TEXT(B1158,"yyyy-mm")</x:f>
        <x:v>2025-04</x:v>
      </x:c>
    </x:row>
    <x:row r="1159">
      <x:c r="A1159" s="1" t="str">
        <x:v>ORD-1155</x:v>
      </x:c>
      <x:c r="B1159" s="4" t="d">
        <x:v>2025-11-11T00:00:00.000Z</x:v>
      </x:c>
      <x:c r="C1159" s="1" t="str">
        <x:v>C-292</x:v>
      </x:c>
      <x:c r="D1159" s="1" t="str">
        <x:v>West</x:v>
      </x:c>
      <x:c r="E1159" s="1" t="str">
        <x:v>Fashion</x:v>
      </x:c>
      <x:c r="F1159" s="1" t="str">
        <x:v>T-shirt</x:v>
      </x:c>
      <x:c r="G1159" s="1" t="n">
        <x:v>4</x:v>
      </x:c>
      <x:c r="H1159" s="2" t="n">
        <x:v>700</x:v>
      </x:c>
      <x:c r="I1159" s="3" t="n">
        <x:v>0.25</x:v>
      </x:c>
      <x:c r="J1159" s="2" t="n">
        <x:v>300</x:v>
      </x:c>
      <x:c r="K1159" s="2" t="n">
        <x:v>80</x:v>
      </x:c>
      <x:c r="L1159" s="2" t="n">
        <x:f>G1159*H1159</x:f>
        <x:v>2800</x:v>
      </x:c>
      <x:c r="M1159" s="2" t="n">
        <x:f>ROUND(L1159*(1-I1159),2)</x:f>
        <x:v>2100</x:v>
      </x:c>
      <x:c r="N1159" s="2" t="n">
        <x:f>G1159*J1159</x:f>
        <x:v>1200</x:v>
      </x:c>
      <x:c r="O1159" s="2" t="n">
        <x:f>M1159-N1159-K1159</x:f>
        <x:v>820</x:v>
      </x:c>
      <x:c r="P1159" s="1" t="str">
        <x:f>TEXT(B1159,"yyyy-mm")</x:f>
        <x:v>2025-11</x:v>
      </x:c>
    </x:row>
    <x:row r="1160">
      <x:c r="A1160" s="1" t="str">
        <x:v>ORD-1156</x:v>
      </x:c>
      <x:c r="B1160" s="4" t="d">
        <x:v>2025-09-21T00:00:00.000Z</x:v>
      </x:c>
      <x:c r="C1160" s="1" t="str">
        <x:v>C-234</x:v>
      </x:c>
      <x:c r="D1160" s="1" t="str">
        <x:v>East</x:v>
      </x:c>
      <x:c r="E1160" s="1" t="str">
        <x:v>Electronics</x:v>
      </x:c>
      <x:c r="F1160" s="1" t="str">
        <x:v>Keyboard</x:v>
      </x:c>
      <x:c r="G1160" s="1" t="n">
        <x:v>3</x:v>
      </x:c>
      <x:c r="H1160" s="2" t="n">
        <x:v>1500</x:v>
      </x:c>
      <x:c r="I1160" s="3" t="n">
        <x:v>0.1</x:v>
      </x:c>
      <x:c r="J1160" s="2" t="n">
        <x:v>900</x:v>
      </x:c>
      <x:c r="K1160" s="2" t="n">
        <x:v>80</x:v>
      </x:c>
      <x:c r="L1160" s="2" t="n">
        <x:f>G1160*H1160</x:f>
        <x:v>4500</x:v>
      </x:c>
      <x:c r="M1160" s="2" t="n">
        <x:f>ROUND(L1160*(1-I1160),2)</x:f>
        <x:v>4050</x:v>
      </x:c>
      <x:c r="N1160" s="2" t="n">
        <x:f>G1160*J1160</x:f>
        <x:v>2700</x:v>
      </x:c>
      <x:c r="O1160" s="2" t="n">
        <x:f>M1160-N1160-K1160</x:f>
        <x:v>1270</x:v>
      </x:c>
      <x:c r="P1160" s="1" t="str">
        <x:f>TEXT(B1160,"yyyy-mm")</x:f>
        <x:v>2025-09</x:v>
      </x:c>
    </x:row>
    <x:row r="1161">
      <x:c r="A1161" s="1" t="str">
        <x:v>ORD-1157</x:v>
      </x:c>
      <x:c r="B1161" s="4" t="d">
        <x:v>2025-09-08T00:00:00.000Z</x:v>
      </x:c>
      <x:c r="C1161" s="1" t="str">
        <x:v>C-092</x:v>
      </x:c>
      <x:c r="D1161" s="1" t="str">
        <x:v>West</x:v>
      </x:c>
      <x:c r="E1161" s="1" t="str">
        <x:v>Electronics</x:v>
      </x:c>
      <x:c r="F1161" s="1" t="str">
        <x:v>Smartwatch</x:v>
      </x:c>
      <x:c r="G1161" s="1" t="n">
        <x:v>4</x:v>
      </x:c>
      <x:c r="H1161" s="2" t="n">
        <x:v>4200</x:v>
      </x:c>
      <x:c r="I1161" s="3" t="n">
        <x:v>0.15</x:v>
      </x:c>
      <x:c r="J1161" s="2" t="n">
        <x:v>3000</x:v>
      </x:c>
      <x:c r="K1161" s="2" t="n">
        <x:v>80</x:v>
      </x:c>
      <x:c r="L1161" s="2" t="n">
        <x:f>G1161*H1161</x:f>
        <x:v>16800</x:v>
      </x:c>
      <x:c r="M1161" s="2" t="n">
        <x:f>ROUND(L1161*(1-I1161),2)</x:f>
        <x:v>14280</x:v>
      </x:c>
      <x:c r="N1161" s="2" t="n">
        <x:f>G1161*J1161</x:f>
        <x:v>12000</x:v>
      </x:c>
      <x:c r="O1161" s="2" t="n">
        <x:f>M1161-N1161-K1161</x:f>
        <x:v>2200</x:v>
      </x:c>
      <x:c r="P1161" s="1" t="str">
        <x:f>TEXT(B1161,"yyyy-mm")</x:f>
        <x:v>2025-09</x:v>
      </x:c>
    </x:row>
    <x:row r="1162">
      <x:c r="A1162" s="1" t="str">
        <x:v>ORD-1158</x:v>
      </x:c>
      <x:c r="B1162" s="4" t="d">
        <x:v>2025-12-19T00:00:00.000Z</x:v>
      </x:c>
      <x:c r="C1162" s="1" t="str">
        <x:v>C-049</x:v>
      </x:c>
      <x:c r="D1162" s="1" t="str">
        <x:v>West</x:v>
      </x:c>
      <x:c r="E1162" s="1" t="str">
        <x:v>Electronics</x:v>
      </x:c>
      <x:c r="F1162" s="1" t="str">
        <x:v>Smartwatch</x:v>
      </x:c>
      <x:c r="G1162" s="1" t="n">
        <x:v>1</x:v>
      </x:c>
      <x:c r="H1162" s="2" t="n">
        <x:v>4200</x:v>
      </x:c>
      <x:c r="I1162" s="3" t="n">
        <x:v>0.35</x:v>
      </x:c>
      <x:c r="J1162" s="2" t="n">
        <x:v>3000</x:v>
      </x:c>
      <x:c r="K1162" s="2" t="n">
        <x:v>50</x:v>
      </x:c>
      <x:c r="L1162" s="2" t="n">
        <x:f>G1162*H1162</x:f>
        <x:v>4200</x:v>
      </x:c>
      <x:c r="M1162" s="2" t="n">
        <x:f>ROUND(L1162*(1-I1162),2)</x:f>
        <x:v>2730</x:v>
      </x:c>
      <x:c r="N1162" s="2" t="n">
        <x:f>G1162*J1162</x:f>
        <x:v>3000</x:v>
      </x:c>
      <x:c r="O1162" s="2" t="n">
        <x:f>M1162-N1162-K1162</x:f>
        <x:v>-320</x:v>
      </x:c>
      <x:c r="P1162" s="1" t="str">
        <x:f>TEXT(B1162,"yyyy-mm")</x:f>
        <x:v>2025-12</x:v>
      </x:c>
    </x:row>
    <x:row r="1163">
      <x:c r="A1163" s="1" t="str">
        <x:v>ORD-1159</x:v>
      </x:c>
      <x:c r="B1163" s="4" t="d">
        <x:v>2025-11-29T00:00:00.000Z</x:v>
      </x:c>
      <x:c r="C1163" s="1" t="str">
        <x:v>C-276</x:v>
      </x:c>
      <x:c r="D1163" s="1" t="str">
        <x:v>East</x:v>
      </x:c>
      <x:c r="E1163" s="1" t="str">
        <x:v>Electronics</x:v>
      </x:c>
      <x:c r="F1163" s="1" t="str">
        <x:v>Smartwatch</x:v>
      </x:c>
      <x:c r="G1163" s="1" t="n">
        <x:v>1</x:v>
      </x:c>
      <x:c r="H1163" s="2" t="n">
        <x:v>4200</x:v>
      </x:c>
      <x:c r="I1163" s="3" t="n">
        <x:v>0.1</x:v>
      </x:c>
      <x:c r="J1163" s="2" t="n">
        <x:v>3000</x:v>
      </x:c>
      <x:c r="K1163" s="2" t="n">
        <x:v>120</x:v>
      </x:c>
      <x:c r="L1163" s="2" t="n">
        <x:f>G1163*H1163</x:f>
        <x:v>4200</x:v>
      </x:c>
      <x:c r="M1163" s="2" t="n">
        <x:f>ROUND(L1163*(1-I1163),2)</x:f>
        <x:v>3780</x:v>
      </x:c>
      <x:c r="N1163" s="2" t="n">
        <x:f>G1163*J1163</x:f>
        <x:v>3000</x:v>
      </x:c>
      <x:c r="O1163" s="2" t="n">
        <x:f>M1163-N1163-K1163</x:f>
        <x:v>660</x:v>
      </x:c>
      <x:c r="P1163" s="1" t="str">
        <x:f>TEXT(B1163,"yyyy-mm")</x:f>
        <x:v>2025-11</x:v>
      </x:c>
    </x:row>
    <x:row r="1164">
      <x:c r="A1164" s="1" t="str">
        <x:v>ORD-1160</x:v>
      </x:c>
      <x:c r="B1164" s="4" t="d">
        <x:v>2025-10-14T00:00:00.000Z</x:v>
      </x:c>
      <x:c r="C1164" s="1" t="str">
        <x:v>C-284</x:v>
      </x:c>
      <x:c r="D1164" s="1" t="str">
        <x:v>North</x:v>
      </x:c>
      <x:c r="E1164" s="1" t="str">
        <x:v>Fashion</x:v>
      </x:c>
      <x:c r="F1164" s="1" t="str">
        <x:v>T-shirt</x:v>
      </x:c>
      <x:c r="G1164" s="1" t="n">
        <x:v>3</x:v>
      </x:c>
      <x:c r="H1164" s="2" t="n">
        <x:v>700</x:v>
      </x:c>
      <x:c r="I1164" s="3" t="n">
        <x:v>0.15</x:v>
      </x:c>
      <x:c r="J1164" s="2" t="n">
        <x:v>300</x:v>
      </x:c>
      <x:c r="K1164" s="2" t="n">
        <x:v>50</x:v>
      </x:c>
      <x:c r="L1164" s="2" t="n">
        <x:f>G1164*H1164</x:f>
        <x:v>2100</x:v>
      </x:c>
      <x:c r="M1164" s="2" t="n">
        <x:f>ROUND(L1164*(1-I1164),2)</x:f>
        <x:v>1785</x:v>
      </x:c>
      <x:c r="N1164" s="2" t="n">
        <x:f>G1164*J1164</x:f>
        <x:v>900</x:v>
      </x:c>
      <x:c r="O1164" s="2" t="n">
        <x:f>M1164-N1164-K1164</x:f>
        <x:v>835</x:v>
      </x:c>
      <x:c r="P1164" s="1" t="str">
        <x:f>TEXT(B1164,"yyyy-mm")</x:f>
        <x:v>2025-10</x:v>
      </x:c>
    </x:row>
    <x:row r="1165">
      <x:c r="A1165" s="1" t="str">
        <x:v>ORD-1161</x:v>
      </x:c>
      <x:c r="B1165" s="4" t="d">
        <x:v>2025-10-14T00:00:00.000Z</x:v>
      </x:c>
      <x:c r="C1165" s="1" t="str">
        <x:v>C-231</x:v>
      </x:c>
      <x:c r="D1165" s="1" t="str">
        <x:v>South</x:v>
      </x:c>
      <x:c r="E1165" s="1" t="str">
        <x:v>Home</x:v>
      </x:c>
      <x:c r="F1165" s="1" t="str">
        <x:v>Storage box</x:v>
      </x:c>
      <x:c r="G1165" s="1" t="n">
        <x:v>3</x:v>
      </x:c>
      <x:c r="H1165" s="2" t="n">
        <x:v>800</x:v>
      </x:c>
      <x:c r="I1165" s="3" t="n">
        <x:v>0.1</x:v>
      </x:c>
      <x:c r="J1165" s="2" t="n">
        <x:v>420</x:v>
      </x:c>
      <x:c r="K1165" s="2" t="n">
        <x:v>50</x:v>
      </x:c>
      <x:c r="L1165" s="2" t="n">
        <x:f>G1165*H1165</x:f>
        <x:v>2400</x:v>
      </x:c>
      <x:c r="M1165" s="2" t="n">
        <x:f>ROUND(L1165*(1-I1165),2)</x:f>
        <x:v>2160</x:v>
      </x:c>
      <x:c r="N1165" s="2" t="n">
        <x:f>G1165*J1165</x:f>
        <x:v>1260</x:v>
      </x:c>
      <x:c r="O1165" s="2" t="n">
        <x:f>M1165-N1165-K1165</x:f>
        <x:v>850</x:v>
      </x:c>
      <x:c r="P1165" s="1" t="str">
        <x:f>TEXT(B1165,"yyyy-mm")</x:f>
        <x:v>2025-10</x:v>
      </x:c>
    </x:row>
    <x:row r="1166">
      <x:c r="A1166" s="1" t="str">
        <x:v>ORD-1162</x:v>
      </x:c>
      <x:c r="B1166" s="4" t="d">
        <x:v>2025-08-03T00:00:00.000Z</x:v>
      </x:c>
      <x:c r="C1166" s="1" t="str">
        <x:v>C-237</x:v>
      </x:c>
      <x:c r="D1166" s="1" t="str">
        <x:v>West</x:v>
      </x:c>
      <x:c r="E1166" s="1" t="str">
        <x:v>Home</x:v>
      </x:c>
      <x:c r="F1166" s="1" t="str">
        <x:v>Desk lamp</x:v>
      </x:c>
      <x:c r="G1166" s="1" t="n">
        <x:v>3</x:v>
      </x:c>
      <x:c r="H1166" s="2" t="n">
        <x:v>1100</x:v>
      </x:c>
      <x:c r="I1166" s="3" t="n">
        <x:v>0</x:v>
      </x:c>
      <x:c r="J1166" s="2" t="n">
        <x:v>650</x:v>
      </x:c>
      <x:c r="K1166" s="2" t="n">
        <x:v>120</x:v>
      </x:c>
      <x:c r="L1166" s="2" t="n">
        <x:f>G1166*H1166</x:f>
        <x:v>3300</x:v>
      </x:c>
      <x:c r="M1166" s="2" t="n">
        <x:f>ROUND(L1166*(1-I1166),2)</x:f>
        <x:v>3300</x:v>
      </x:c>
      <x:c r="N1166" s="2" t="n">
        <x:f>G1166*J1166</x:f>
        <x:v>1950</x:v>
      </x:c>
      <x:c r="O1166" s="2" t="n">
        <x:f>M1166-N1166-K1166</x:f>
        <x:v>1230</x:v>
      </x:c>
      <x:c r="P1166" s="1" t="str">
        <x:f>TEXT(B1166,"yyyy-mm")</x:f>
        <x:v>2025-08</x:v>
      </x:c>
    </x:row>
    <x:row r="1167">
      <x:c r="A1167" s="1" t="str">
        <x:v>ORD-1163</x:v>
      </x:c>
      <x:c r="B1167" s="4" t="d">
        <x:v>2025-06-02T00:00:00.000Z</x:v>
      </x:c>
      <x:c r="C1167" s="1" t="str">
        <x:v>C-006</x:v>
      </x:c>
      <x:c r="D1167" s="1" t="str">
        <x:v>East</x:v>
      </x:c>
      <x:c r="E1167" s="1" t="str">
        <x:v>Fashion</x:v>
      </x:c>
      <x:c r="F1167" s="1" t="str">
        <x:v>T-shirt</x:v>
      </x:c>
      <x:c r="G1167" s="1" t="n">
        <x:v>1</x:v>
      </x:c>
      <x:c r="H1167" s="2" t="n">
        <x:v>700</x:v>
      </x:c>
      <x:c r="I1167" s="3" t="n">
        <x:v>0.15</x:v>
      </x:c>
      <x:c r="J1167" s="2" t="n">
        <x:v>300</x:v>
      </x:c>
      <x:c r="K1167" s="2" t="n">
        <x:v>120</x:v>
      </x:c>
      <x:c r="L1167" s="2" t="n">
        <x:f>G1167*H1167</x:f>
        <x:v>700</x:v>
      </x:c>
      <x:c r="M1167" s="2" t="n">
        <x:f>ROUND(L1167*(1-I1167),2)</x:f>
        <x:v>595</x:v>
      </x:c>
      <x:c r="N1167" s="2" t="n">
        <x:f>G1167*J1167</x:f>
        <x:v>300</x:v>
      </x:c>
      <x:c r="O1167" s="2" t="n">
        <x:f>M1167-N1167-K1167</x:f>
        <x:v>175</x:v>
      </x:c>
      <x:c r="P1167" s="1" t="str">
        <x:f>TEXT(B1167,"yyyy-mm")</x:f>
        <x:v>2025-06</x:v>
      </x:c>
    </x:row>
    <x:row r="1168">
      <x:c r="A1168" s="1" t="str">
        <x:v>ORD-1164</x:v>
      </x:c>
      <x:c r="B1168" s="4" t="d">
        <x:v>2025-12-24T00:00:00.000Z</x:v>
      </x:c>
      <x:c r="C1168" s="1" t="str">
        <x:v>C-238</x:v>
      </x:c>
      <x:c r="D1168" s="1" t="str">
        <x:v>West</x:v>
      </x:c>
      <x:c r="E1168" s="1" t="str">
        <x:v>Fashion</x:v>
      </x:c>
      <x:c r="F1168" s="1" t="str">
        <x:v>Backpack</x:v>
      </x:c>
      <x:c r="G1168" s="1" t="n">
        <x:v>4</x:v>
      </x:c>
      <x:c r="H1168" s="2" t="n">
        <x:v>1300</x:v>
      </x:c>
      <x:c r="I1168" s="3" t="n">
        <x:v>0.35</x:v>
      </x:c>
      <x:c r="J1168" s="2" t="n">
        <x:v>650</x:v>
      </x:c>
      <x:c r="K1168" s="2" t="n">
        <x:v>50</x:v>
      </x:c>
      <x:c r="L1168" s="2" t="n">
        <x:f>G1168*H1168</x:f>
        <x:v>5200</x:v>
      </x:c>
      <x:c r="M1168" s="2" t="n">
        <x:f>ROUND(L1168*(1-I1168),2)</x:f>
        <x:v>3380</x:v>
      </x:c>
      <x:c r="N1168" s="2" t="n">
        <x:f>G1168*J1168</x:f>
        <x:v>2600</x:v>
      </x:c>
      <x:c r="O1168" s="2" t="n">
        <x:f>M1168-N1168-K1168</x:f>
        <x:v>730</x:v>
      </x:c>
      <x:c r="P1168" s="1" t="str">
        <x:f>TEXT(B1168,"yyyy-mm")</x:f>
        <x:v>2025-12</x:v>
      </x:c>
    </x:row>
    <x:row r="1169">
      <x:c r="A1169" s="1" t="str">
        <x:v>ORD-1165</x:v>
      </x:c>
      <x:c r="B1169" s="4" t="d">
        <x:v>2025-02-15T00:00:00.000Z</x:v>
      </x:c>
      <x:c r="C1169" s="1" t="str">
        <x:v>C-072</x:v>
      </x:c>
      <x:c r="D1169" s="1" t="str">
        <x:v>West</x:v>
      </x:c>
      <x:c r="E1169" s="1" t="str">
        <x:v>Fashion</x:v>
      </x:c>
      <x:c r="F1169" s="1" t="str">
        <x:v>T-shirt</x:v>
      </x:c>
      <x:c r="G1169" s="1" t="n">
        <x:v>3</x:v>
      </x:c>
      <x:c r="H1169" s="2" t="n">
        <x:v>700</x:v>
      </x:c>
      <x:c r="I1169" s="3" t="n">
        <x:v>0.35</x:v>
      </x:c>
      <x:c r="J1169" s="2" t="n">
        <x:v>300</x:v>
      </x:c>
      <x:c r="K1169" s="2" t="n">
        <x:v>50</x:v>
      </x:c>
      <x:c r="L1169" s="2" t="n">
        <x:f>G1169*H1169</x:f>
        <x:v>2100</x:v>
      </x:c>
      <x:c r="M1169" s="2" t="n">
        <x:f>ROUND(L1169*(1-I1169),2)</x:f>
        <x:v>1365</x:v>
      </x:c>
      <x:c r="N1169" s="2" t="n">
        <x:f>G1169*J1169</x:f>
        <x:v>900</x:v>
      </x:c>
      <x:c r="O1169" s="2" t="n">
        <x:f>M1169-N1169-K1169</x:f>
        <x:v>415</x:v>
      </x:c>
      <x:c r="P1169" s="1" t="str">
        <x:f>TEXT(B1169,"yyyy-mm")</x:f>
        <x:v>2025-02</x:v>
      </x:c>
    </x:row>
    <x:row r="1170">
      <x:c r="A1170" s="1" t="str">
        <x:v>ORD-1166</x:v>
      </x:c>
      <x:c r="B1170" s="4" t="d">
        <x:v>2025-03-04T00:00:00.000Z</x:v>
      </x:c>
      <x:c r="C1170" s="1" t="str">
        <x:v>C-091</x:v>
      </x:c>
      <x:c r="D1170" s="1" t="str">
        <x:v>East</x:v>
      </x:c>
      <x:c r="E1170" s="1" t="str">
        <x:v>Electronics</x:v>
      </x:c>
      <x:c r="F1170" s="1" t="str">
        <x:v>Headphones</x:v>
      </x:c>
      <x:c r="G1170" s="1" t="n">
        <x:v>1</x:v>
      </x:c>
      <x:c r="H1170" s="2" t="n">
        <x:v>2200</x:v>
      </x:c>
      <x:c r="I1170" s="3" t="n">
        <x:v>0.25</x:v>
      </x:c>
      <x:c r="J1170" s="2" t="n">
        <x:v>1450</x:v>
      </x:c>
      <x:c r="K1170" s="2" t="n">
        <x:v>120</x:v>
      </x:c>
      <x:c r="L1170" s="2" t="n">
        <x:f>G1170*H1170</x:f>
        <x:v>2200</x:v>
      </x:c>
      <x:c r="M1170" s="2" t="n">
        <x:f>ROUND(L1170*(1-I1170),2)</x:f>
        <x:v>1650</x:v>
      </x:c>
      <x:c r="N1170" s="2" t="n">
        <x:f>G1170*J1170</x:f>
        <x:v>1450</x:v>
      </x:c>
      <x:c r="O1170" s="2" t="n">
        <x:f>M1170-N1170-K1170</x:f>
        <x:v>80</x:v>
      </x:c>
      <x:c r="P1170" s="1" t="str">
        <x:f>TEXT(B1170,"yyyy-mm")</x:f>
        <x:v>2025-03</x:v>
      </x:c>
    </x:row>
    <x:row r="1171">
      <x:c r="A1171" s="1" t="str">
        <x:v>ORD-1167</x:v>
      </x:c>
      <x:c r="B1171" s="4" t="d">
        <x:v>2025-10-22T00:00:00.000Z</x:v>
      </x:c>
      <x:c r="C1171" s="1" t="str">
        <x:v>C-006</x:v>
      </x:c>
      <x:c r="D1171" s="1" t="str">
        <x:v>East</x:v>
      </x:c>
      <x:c r="E1171" s="1" t="str">
        <x:v>Electronics</x:v>
      </x:c>
      <x:c r="F1171" s="1" t="str">
        <x:v>Smartwatch</x:v>
      </x:c>
      <x:c r="G1171" s="1" t="n">
        <x:v>2</x:v>
      </x:c>
      <x:c r="H1171" s="2" t="n">
        <x:v>4200</x:v>
      </x:c>
      <x:c r="I1171" s="3" t="n">
        <x:v>0</x:v>
      </x:c>
      <x:c r="J1171" s="2" t="n">
        <x:v>3000</x:v>
      </x:c>
      <x:c r="K1171" s="2" t="n">
        <x:v>80</x:v>
      </x:c>
      <x:c r="L1171" s="2" t="n">
        <x:f>G1171*H1171</x:f>
        <x:v>8400</x:v>
      </x:c>
      <x:c r="M1171" s="2" t="n">
        <x:f>ROUND(L1171*(1-I1171),2)</x:f>
        <x:v>8400</x:v>
      </x:c>
      <x:c r="N1171" s="2" t="n">
        <x:f>G1171*J1171</x:f>
        <x:v>6000</x:v>
      </x:c>
      <x:c r="O1171" s="2" t="n">
        <x:f>M1171-N1171-K1171</x:f>
        <x:v>2320</x:v>
      </x:c>
      <x:c r="P1171" s="1" t="str">
        <x:f>TEXT(B1171,"yyyy-mm")</x:f>
        <x:v>2025-10</x:v>
      </x:c>
    </x:row>
    <x:row r="1172">
      <x:c r="A1172" s="1" t="str">
        <x:v>ORD-1168</x:v>
      </x:c>
      <x:c r="B1172" s="4" t="d">
        <x:v>2025-06-02T00:00:00.000Z</x:v>
      </x:c>
      <x:c r="C1172" s="1" t="str">
        <x:v>C-273</x:v>
      </x:c>
      <x:c r="D1172" s="1" t="str">
        <x:v>South</x:v>
      </x:c>
      <x:c r="E1172" s="1" t="str">
        <x:v>Fashion</x:v>
      </x:c>
      <x:c r="F1172" s="1" t="str">
        <x:v>T-shirt</x:v>
      </x:c>
      <x:c r="G1172" s="1" t="n">
        <x:v>4</x:v>
      </x:c>
      <x:c r="H1172" s="2" t="n">
        <x:v>700</x:v>
      </x:c>
      <x:c r="I1172" s="3" t="n">
        <x:v>0.35</x:v>
      </x:c>
      <x:c r="J1172" s="2" t="n">
        <x:v>300</x:v>
      </x:c>
      <x:c r="K1172" s="2" t="n">
        <x:v>120</x:v>
      </x:c>
      <x:c r="L1172" s="2" t="n">
        <x:f>G1172*H1172</x:f>
        <x:v>2800</x:v>
      </x:c>
      <x:c r="M1172" s="2" t="n">
        <x:f>ROUND(L1172*(1-I1172),2)</x:f>
        <x:v>1820</x:v>
      </x:c>
      <x:c r="N1172" s="2" t="n">
        <x:f>G1172*J1172</x:f>
        <x:v>1200</x:v>
      </x:c>
      <x:c r="O1172" s="2" t="n">
        <x:f>M1172-N1172-K1172</x:f>
        <x:v>500</x:v>
      </x:c>
      <x:c r="P1172" s="1" t="str">
        <x:f>TEXT(B1172,"yyyy-mm")</x:f>
        <x:v>2025-06</x:v>
      </x:c>
    </x:row>
    <x:row r="1173">
      <x:c r="A1173" s="1" t="str">
        <x:v>ORD-1169</x:v>
      </x:c>
      <x:c r="B1173" s="4" t="d">
        <x:v>2025-01-22T00:00:00.000Z</x:v>
      </x:c>
      <x:c r="C1173" s="1" t="str">
        <x:v>C-053</x:v>
      </x:c>
      <x:c r="D1173" s="1" t="str">
        <x:v>West</x:v>
      </x:c>
      <x:c r="E1173" s="1" t="str">
        <x:v>Home</x:v>
      </x:c>
      <x:c r="F1173" s="1" t="str">
        <x:v>Storage box</x:v>
      </x:c>
      <x:c r="G1173" s="1" t="n">
        <x:v>3</x:v>
      </x:c>
      <x:c r="H1173" s="2" t="n">
        <x:v>800</x:v>
      </x:c>
      <x:c r="I1173" s="3" t="n">
        <x:v>0.35</x:v>
      </x:c>
      <x:c r="J1173" s="2" t="n">
        <x:v>420</x:v>
      </x:c>
      <x:c r="K1173" s="2" t="n">
        <x:v>80</x:v>
      </x:c>
      <x:c r="L1173" s="2" t="n">
        <x:f>G1173*H1173</x:f>
        <x:v>2400</x:v>
      </x:c>
      <x:c r="M1173" s="2" t="n">
        <x:f>ROUND(L1173*(1-I1173),2)</x:f>
        <x:v>1560</x:v>
      </x:c>
      <x:c r="N1173" s="2" t="n">
        <x:f>G1173*J1173</x:f>
        <x:v>1260</x:v>
      </x:c>
      <x:c r="O1173" s="2" t="n">
        <x:f>M1173-N1173-K1173</x:f>
        <x:v>220</x:v>
      </x:c>
      <x:c r="P1173" s="1" t="str">
        <x:f>TEXT(B1173,"yyyy-mm")</x:f>
        <x:v>2025-01</x:v>
      </x:c>
    </x:row>
    <x:row r="1174">
      <x:c r="A1174" s="1" t="str">
        <x:v>ORD-1170</x:v>
      </x:c>
      <x:c r="B1174" s="4" t="d">
        <x:v>2025-01-25T00:00:00.000Z</x:v>
      </x:c>
      <x:c r="C1174" s="1" t="str">
        <x:v>C-194</x:v>
      </x:c>
      <x:c r="D1174" s="1" t="str">
        <x:v>South</x:v>
      </x:c>
      <x:c r="E1174" s="1" t="str">
        <x:v>Electronics</x:v>
      </x:c>
      <x:c r="F1174" s="1" t="str">
        <x:v>Headphones</x:v>
      </x:c>
      <x:c r="G1174" s="1" t="n">
        <x:v>2</x:v>
      </x:c>
      <x:c r="H1174" s="2" t="n">
        <x:v>2200</x:v>
      </x:c>
      <x:c r="I1174" s="3" t="n">
        <x:v>0</x:v>
      </x:c>
      <x:c r="J1174" s="2" t="n">
        <x:v>1450</x:v>
      </x:c>
      <x:c r="K1174" s="2" t="n">
        <x:v>80</x:v>
      </x:c>
      <x:c r="L1174" s="2" t="n">
        <x:f>G1174*H1174</x:f>
        <x:v>4400</x:v>
      </x:c>
      <x:c r="M1174" s="2" t="n">
        <x:f>ROUND(L1174*(1-I1174),2)</x:f>
        <x:v>4400</x:v>
      </x:c>
      <x:c r="N1174" s="2" t="n">
        <x:f>G1174*J1174</x:f>
        <x:v>2900</x:v>
      </x:c>
      <x:c r="O1174" s="2" t="n">
        <x:f>M1174-N1174-K1174</x:f>
        <x:v>1420</x:v>
      </x:c>
      <x:c r="P1174" s="1" t="str">
        <x:f>TEXT(B1174,"yyyy-mm")</x:f>
        <x:v>2025-01</x:v>
      </x:c>
    </x:row>
    <x:row r="1175">
      <x:c r="A1175" s="1" t="str">
        <x:v>ORD-1171</x:v>
      </x:c>
      <x:c r="B1175" s="4" t="d">
        <x:v>2025-12-01T00:00:00.000Z</x:v>
      </x:c>
      <x:c r="C1175" s="1" t="str">
        <x:v>C-216</x:v>
      </x:c>
      <x:c r="D1175" s="1" t="str">
        <x:v>North</x:v>
      </x:c>
      <x:c r="E1175" s="1" t="str">
        <x:v>Fashion</x:v>
      </x:c>
      <x:c r="F1175" s="1" t="str">
        <x:v>T-shirt</x:v>
      </x:c>
      <x:c r="G1175" s="1" t="n">
        <x:v>1</x:v>
      </x:c>
      <x:c r="H1175" s="2" t="n">
        <x:v>700</x:v>
      </x:c>
      <x:c r="I1175" s="3" t="n">
        <x:v>0</x:v>
      </x:c>
      <x:c r="J1175" s="2" t="n">
        <x:v>300</x:v>
      </x:c>
      <x:c r="K1175" s="2" t="n">
        <x:v>80</x:v>
      </x:c>
      <x:c r="L1175" s="2" t="n">
        <x:f>G1175*H1175</x:f>
        <x:v>700</x:v>
      </x:c>
      <x:c r="M1175" s="2" t="n">
        <x:f>ROUND(L1175*(1-I1175),2)</x:f>
        <x:v>700</x:v>
      </x:c>
      <x:c r="N1175" s="2" t="n">
        <x:f>G1175*J1175</x:f>
        <x:v>300</x:v>
      </x:c>
      <x:c r="O1175" s="2" t="n">
        <x:f>M1175-N1175-K1175</x:f>
        <x:v>320</x:v>
      </x:c>
      <x:c r="P1175" s="1" t="str">
        <x:f>TEXT(B1175,"yyyy-mm")</x:f>
        <x:v>2025-12</x:v>
      </x:c>
    </x:row>
    <x:row r="1176">
      <x:c r="A1176" s="1" t="str">
        <x:v>ORD-1172</x:v>
      </x:c>
      <x:c r="B1176" s="4" t="d">
        <x:v>2025-11-29T00:00:00.000Z</x:v>
      </x:c>
      <x:c r="C1176" s="1" t="str">
        <x:v>C-050</x:v>
      </x:c>
      <x:c r="D1176" s="1" t="str">
        <x:v>South</x:v>
      </x:c>
      <x:c r="E1176" s="1" t="str">
        <x:v>Electronics</x:v>
      </x:c>
      <x:c r="F1176" s="1" t="str">
        <x:v>Keyboard</x:v>
      </x:c>
      <x:c r="G1176" s="1" t="n">
        <x:v>2</x:v>
      </x:c>
      <x:c r="H1176" s="2" t="n">
        <x:v>1500</x:v>
      </x:c>
      <x:c r="I1176" s="3" t="n">
        <x:v>0.05</x:v>
      </x:c>
      <x:c r="J1176" s="2" t="n">
        <x:v>900</x:v>
      </x:c>
      <x:c r="K1176" s="2" t="n">
        <x:v>50</x:v>
      </x:c>
      <x:c r="L1176" s="2" t="n">
        <x:f>G1176*H1176</x:f>
        <x:v>3000</x:v>
      </x:c>
      <x:c r="M1176" s="2" t="n">
        <x:f>ROUND(L1176*(1-I1176),2)</x:f>
        <x:v>2850</x:v>
      </x:c>
      <x:c r="N1176" s="2" t="n">
        <x:f>G1176*J1176</x:f>
        <x:v>1800</x:v>
      </x:c>
      <x:c r="O1176" s="2" t="n">
        <x:f>M1176-N1176-K1176</x:f>
        <x:v>1000</x:v>
      </x:c>
      <x:c r="P1176" s="1" t="str">
        <x:f>TEXT(B1176,"yyyy-mm")</x:f>
        <x:v>2025-11</x:v>
      </x:c>
    </x:row>
    <x:row r="1177">
      <x:c r="A1177" s="1" t="str">
        <x:v>ORD-1173</x:v>
      </x:c>
      <x:c r="B1177" s="4" t="d">
        <x:v>2025-07-11T00:00:00.000Z</x:v>
      </x:c>
      <x:c r="C1177" s="1" t="str">
        <x:v>C-288</x:v>
      </x:c>
      <x:c r="D1177" s="1" t="str">
        <x:v>South</x:v>
      </x:c>
      <x:c r="E1177" s="1" t="str">
        <x:v>Electronics</x:v>
      </x:c>
      <x:c r="F1177" s="1" t="str">
        <x:v>Keyboard</x:v>
      </x:c>
      <x:c r="G1177" s="1" t="n">
        <x:v>2</x:v>
      </x:c>
      <x:c r="H1177" s="2" t="n">
        <x:v>1500</x:v>
      </x:c>
      <x:c r="I1177" s="3" t="n">
        <x:v>0.1</x:v>
      </x:c>
      <x:c r="J1177" s="2" t="n">
        <x:v>900</x:v>
      </x:c>
      <x:c r="K1177" s="2" t="n">
        <x:v>120</x:v>
      </x:c>
      <x:c r="L1177" s="2" t="n">
        <x:f>G1177*H1177</x:f>
        <x:v>3000</x:v>
      </x:c>
      <x:c r="M1177" s="2" t="n">
        <x:f>ROUND(L1177*(1-I1177),2)</x:f>
        <x:v>2700</x:v>
      </x:c>
      <x:c r="N1177" s="2" t="n">
        <x:f>G1177*J1177</x:f>
        <x:v>1800</x:v>
      </x:c>
      <x:c r="O1177" s="2" t="n">
        <x:f>M1177-N1177-K1177</x:f>
        <x:v>780</x:v>
      </x:c>
      <x:c r="P1177" s="1" t="str">
        <x:f>TEXT(B1177,"yyyy-mm")</x:f>
        <x:v>2025-07</x:v>
      </x:c>
    </x:row>
    <x:row r="1178">
      <x:c r="A1178" s="1" t="str">
        <x:v>ORD-1174</x:v>
      </x:c>
      <x:c r="B1178" s="4" t="d">
        <x:v>2025-06-08T00:00:00.000Z</x:v>
      </x:c>
      <x:c r="C1178" s="1" t="str">
        <x:v>C-110</x:v>
      </x:c>
      <x:c r="D1178" s="1" t="str">
        <x:v>North</x:v>
      </x:c>
      <x:c r="E1178" s="1" t="str">
        <x:v>Home</x:v>
      </x:c>
      <x:c r="F1178" s="1" t="str">
        <x:v>Office chair</x:v>
      </x:c>
      <x:c r="G1178" s="1" t="n">
        <x:v>3</x:v>
      </x:c>
      <x:c r="H1178" s="2" t="n">
        <x:v>5500</x:v>
      </x:c>
      <x:c r="I1178" s="3" t="n">
        <x:v>0</x:v>
      </x:c>
      <x:c r="J1178" s="2" t="n">
        <x:v>4400</x:v>
      </x:c>
      <x:c r="K1178" s="2" t="n">
        <x:v>80</x:v>
      </x:c>
      <x:c r="L1178" s="2" t="n">
        <x:f>G1178*H1178</x:f>
        <x:v>16500</x:v>
      </x:c>
      <x:c r="M1178" s="2" t="n">
        <x:f>ROUND(L1178*(1-I1178),2)</x:f>
        <x:v>16500</x:v>
      </x:c>
      <x:c r="N1178" s="2" t="n">
        <x:f>G1178*J1178</x:f>
        <x:v>13200</x:v>
      </x:c>
      <x:c r="O1178" s="2" t="n">
        <x:f>M1178-N1178-K1178</x:f>
        <x:v>3220</x:v>
      </x:c>
      <x:c r="P1178" s="1" t="str">
        <x:f>TEXT(B1178,"yyyy-mm")</x:f>
        <x:v>2025-06</x:v>
      </x:c>
    </x:row>
    <x:row r="1179">
      <x:c r="A1179" s="1" t="str">
        <x:v>ORD-1175</x:v>
      </x:c>
      <x:c r="B1179" s="4" t="d">
        <x:v>2025-03-11T00:00:00.000Z</x:v>
      </x:c>
      <x:c r="C1179" s="1" t="str">
        <x:v>C-007</x:v>
      </x:c>
      <x:c r="D1179" s="1" t="str">
        <x:v>West</x:v>
      </x:c>
      <x:c r="E1179" s="1" t="str">
        <x:v>Home</x:v>
      </x:c>
      <x:c r="F1179" s="1" t="str">
        <x:v>Office chair</x:v>
      </x:c>
      <x:c r="G1179" s="1" t="n">
        <x:v>2</x:v>
      </x:c>
      <x:c r="H1179" s="2" t="n">
        <x:v>5500</x:v>
      </x:c>
      <x:c r="I1179" s="3" t="n">
        <x:v>0.35</x:v>
      </x:c>
      <x:c r="J1179" s="2" t="n">
        <x:v>4400</x:v>
      </x:c>
      <x:c r="K1179" s="2" t="n">
        <x:v>80</x:v>
      </x:c>
      <x:c r="L1179" s="2" t="n">
        <x:f>G1179*H1179</x:f>
        <x:v>11000</x:v>
      </x:c>
      <x:c r="M1179" s="2" t="n">
        <x:f>ROUND(L1179*(1-I1179),2)</x:f>
        <x:v>7150</x:v>
      </x:c>
      <x:c r="N1179" s="2" t="n">
        <x:f>G1179*J1179</x:f>
        <x:v>8800</x:v>
      </x:c>
      <x:c r="O1179" s="2" t="n">
        <x:f>M1179-N1179-K1179</x:f>
        <x:v>-1730</x:v>
      </x:c>
      <x:c r="P1179" s="1" t="str">
        <x:f>TEXT(B1179,"yyyy-mm")</x:f>
        <x:v>2025-03</x:v>
      </x:c>
    </x:row>
    <x:row r="1180">
      <x:c r="A1180" s="1" t="str">
        <x:v>ORD-1176</x:v>
      </x:c>
      <x:c r="B1180" s="4" t="d">
        <x:v>2025-04-20T00:00:00.000Z</x:v>
      </x:c>
      <x:c r="C1180" s="1" t="str">
        <x:v>C-189</x:v>
      </x:c>
      <x:c r="D1180" s="1" t="str">
        <x:v>North</x:v>
      </x:c>
      <x:c r="E1180" s="1" t="str">
        <x:v>Fashion</x:v>
      </x:c>
      <x:c r="F1180" s="1" t="str">
        <x:v>Sneakers</x:v>
      </x:c>
      <x:c r="G1180" s="1" t="n">
        <x:v>1</x:v>
      </x:c>
      <x:c r="H1180" s="2" t="n">
        <x:v>2400</x:v>
      </x:c>
      <x:c r="I1180" s="3" t="n">
        <x:v>0.35</x:v>
      </x:c>
      <x:c r="J1180" s="2" t="n">
        <x:v>1200</x:v>
      </x:c>
      <x:c r="K1180" s="2" t="n">
        <x:v>50</x:v>
      </x:c>
      <x:c r="L1180" s="2" t="n">
        <x:f>G1180*H1180</x:f>
        <x:v>2400</x:v>
      </x:c>
      <x:c r="M1180" s="2" t="n">
        <x:f>ROUND(L1180*(1-I1180),2)</x:f>
        <x:v>1560</x:v>
      </x:c>
      <x:c r="N1180" s="2" t="n">
        <x:f>G1180*J1180</x:f>
        <x:v>1200</x:v>
      </x:c>
      <x:c r="O1180" s="2" t="n">
        <x:f>M1180-N1180-K1180</x:f>
        <x:v>310</x:v>
      </x:c>
      <x:c r="P1180" s="1" t="str">
        <x:f>TEXT(B1180,"yyyy-mm")</x:f>
        <x:v>2025-04</x:v>
      </x:c>
    </x:row>
    <x:row r="1181">
      <x:c r="A1181" s="1" t="str">
        <x:v>ORD-1177</x:v>
      </x:c>
      <x:c r="B1181" s="4" t="d">
        <x:v>2025-07-23T00:00:00.000Z</x:v>
      </x:c>
      <x:c r="C1181" s="1" t="str">
        <x:v>C-275</x:v>
      </x:c>
      <x:c r="D1181" s="1" t="str">
        <x:v>South</x:v>
      </x:c>
      <x:c r="E1181" s="1" t="str">
        <x:v>Home</x:v>
      </x:c>
      <x:c r="F1181" s="1" t="str">
        <x:v>Desk lamp</x:v>
      </x:c>
      <x:c r="G1181" s="1" t="n">
        <x:v>3</x:v>
      </x:c>
      <x:c r="H1181" s="2" t="n">
        <x:v>1100</x:v>
      </x:c>
      <x:c r="I1181" s="3" t="n">
        <x:v>0</x:v>
      </x:c>
      <x:c r="J1181" s="2" t="n">
        <x:v>650</x:v>
      </x:c>
      <x:c r="K1181" s="2" t="n">
        <x:v>50</x:v>
      </x:c>
      <x:c r="L1181" s="2" t="n">
        <x:f>G1181*H1181</x:f>
        <x:v>3300</x:v>
      </x:c>
      <x:c r="M1181" s="2" t="n">
        <x:f>ROUND(L1181*(1-I1181),2)</x:f>
        <x:v>3300</x:v>
      </x:c>
      <x:c r="N1181" s="2" t="n">
        <x:f>G1181*J1181</x:f>
        <x:v>1950</x:v>
      </x:c>
      <x:c r="O1181" s="2" t="n">
        <x:f>M1181-N1181-K1181</x:f>
        <x:v>1300</x:v>
      </x:c>
      <x:c r="P1181" s="1" t="str">
        <x:f>TEXT(B1181,"yyyy-mm")</x:f>
        <x:v>2025-07</x:v>
      </x:c>
    </x:row>
    <x:row r="1182">
      <x:c r="A1182" s="1" t="str">
        <x:v>ORD-1178</x:v>
      </x:c>
      <x:c r="B1182" s="4" t="d">
        <x:v>2025-09-30T00:00:00.000Z</x:v>
      </x:c>
      <x:c r="C1182" s="1" t="str">
        <x:v>C-069</x:v>
      </x:c>
      <x:c r="D1182" s="1" t="str">
        <x:v>East</x:v>
      </x:c>
      <x:c r="E1182" s="1" t="str">
        <x:v>Home</x:v>
      </x:c>
      <x:c r="F1182" s="1" t="str">
        <x:v>Office chair</x:v>
      </x:c>
      <x:c r="G1182" s="1" t="n">
        <x:v>2</x:v>
      </x:c>
      <x:c r="H1182" s="2" t="n">
        <x:v>5500</x:v>
      </x:c>
      <x:c r="I1182" s="3" t="n">
        <x:v>0.35</x:v>
      </x:c>
      <x:c r="J1182" s="2" t="n">
        <x:v>4400</x:v>
      </x:c>
      <x:c r="K1182" s="2" t="n">
        <x:v>120</x:v>
      </x:c>
      <x:c r="L1182" s="2" t="n">
        <x:f>G1182*H1182</x:f>
        <x:v>11000</x:v>
      </x:c>
      <x:c r="M1182" s="2" t="n">
        <x:f>ROUND(L1182*(1-I1182),2)</x:f>
        <x:v>7150</x:v>
      </x:c>
      <x:c r="N1182" s="2" t="n">
        <x:f>G1182*J1182</x:f>
        <x:v>8800</x:v>
      </x:c>
      <x:c r="O1182" s="2" t="n">
        <x:f>M1182-N1182-K1182</x:f>
        <x:v>-1770</x:v>
      </x:c>
      <x:c r="P1182" s="1" t="str">
        <x:f>TEXT(B1182,"yyyy-mm")</x:f>
        <x:v>2025-09</x:v>
      </x:c>
    </x:row>
    <x:row r="1183">
      <x:c r="A1183" s="1" t="str">
        <x:v>ORD-1179</x:v>
      </x:c>
      <x:c r="B1183" s="4" t="d">
        <x:v>2025-10-16T00:00:00.000Z</x:v>
      </x:c>
      <x:c r="C1183" s="1" t="str">
        <x:v>C-035</x:v>
      </x:c>
      <x:c r="D1183" s="1" t="str">
        <x:v>East</x:v>
      </x:c>
      <x:c r="E1183" s="1" t="str">
        <x:v>Fashion</x:v>
      </x:c>
      <x:c r="F1183" s="1" t="str">
        <x:v>Backpack</x:v>
      </x:c>
      <x:c r="G1183" s="1" t="n">
        <x:v>1</x:v>
      </x:c>
      <x:c r="H1183" s="2" t="n">
        <x:v>1300</x:v>
      </x:c>
      <x:c r="I1183" s="3" t="n">
        <x:v>0.35</x:v>
      </x:c>
      <x:c r="J1183" s="2" t="n">
        <x:v>650</x:v>
      </x:c>
      <x:c r="K1183" s="2" t="n">
        <x:v>120</x:v>
      </x:c>
      <x:c r="L1183" s="2" t="n">
        <x:f>G1183*H1183</x:f>
        <x:v>1300</x:v>
      </x:c>
      <x:c r="M1183" s="2" t="n">
        <x:f>ROUND(L1183*(1-I1183),2)</x:f>
        <x:v>845</x:v>
      </x:c>
      <x:c r="N1183" s="2" t="n">
        <x:f>G1183*J1183</x:f>
        <x:v>650</x:v>
      </x:c>
      <x:c r="O1183" s="2" t="n">
        <x:f>M1183-N1183-K1183</x:f>
        <x:v>75</x:v>
      </x:c>
      <x:c r="P1183" s="1" t="str">
        <x:f>TEXT(B1183,"yyyy-mm")</x:f>
        <x:v>2025-10</x:v>
      </x:c>
    </x:row>
    <x:row r="1184">
      <x:c r="A1184" s="1" t="str">
        <x:v>ORD-1180</x:v>
      </x:c>
      <x:c r="B1184" s="4" t="d">
        <x:v>2025-12-17T00:00:00.000Z</x:v>
      </x:c>
      <x:c r="C1184" s="1" t="str">
        <x:v>C-120</x:v>
      </x:c>
      <x:c r="D1184" s="1" t="str">
        <x:v>North</x:v>
      </x:c>
      <x:c r="E1184" s="1" t="str">
        <x:v>Home</x:v>
      </x:c>
      <x:c r="F1184" s="1" t="str">
        <x:v>Desk lamp</x:v>
      </x:c>
      <x:c r="G1184" s="1" t="n">
        <x:v>2</x:v>
      </x:c>
      <x:c r="H1184" s="2" t="n">
        <x:v>1100</x:v>
      </x:c>
      <x:c r="I1184" s="3" t="n">
        <x:v>0.15</x:v>
      </x:c>
      <x:c r="J1184" s="2" t="n">
        <x:v>650</x:v>
      </x:c>
      <x:c r="K1184" s="2" t="n">
        <x:v>50</x:v>
      </x:c>
      <x:c r="L1184" s="2" t="n">
        <x:f>G1184*H1184</x:f>
        <x:v>2200</x:v>
      </x:c>
      <x:c r="M1184" s="2" t="n">
        <x:f>ROUND(L1184*(1-I1184),2)</x:f>
        <x:v>1870</x:v>
      </x:c>
      <x:c r="N1184" s="2" t="n">
        <x:f>G1184*J1184</x:f>
        <x:v>1300</x:v>
      </x:c>
      <x:c r="O1184" s="2" t="n">
        <x:f>M1184-N1184-K1184</x:f>
        <x:v>520</x:v>
      </x:c>
      <x:c r="P1184" s="1" t="str">
        <x:f>TEXT(B1184,"yyyy-mm")</x:f>
        <x:v>2025-12</x:v>
      </x:c>
    </x:row>
    <x:row r="1185">
      <x:c r="A1185" s="1" t="str">
        <x:v>ORD-1181</x:v>
      </x:c>
      <x:c r="B1185" s="4" t="d">
        <x:v>2025-09-08T00:00:00.000Z</x:v>
      </x:c>
      <x:c r="C1185" s="1" t="str">
        <x:v>C-220</x:v>
      </x:c>
      <x:c r="D1185" s="1" t="str">
        <x:v>South</x:v>
      </x:c>
      <x:c r="E1185" s="1" t="str">
        <x:v>Electronics</x:v>
      </x:c>
      <x:c r="F1185" s="1" t="str">
        <x:v>Keyboard</x:v>
      </x:c>
      <x:c r="G1185" s="1" t="n">
        <x:v>1</x:v>
      </x:c>
      <x:c r="H1185" s="2" t="n">
        <x:v>1500</x:v>
      </x:c>
      <x:c r="I1185" s="3" t="n">
        <x:v>0.1</x:v>
      </x:c>
      <x:c r="J1185" s="2" t="n">
        <x:v>900</x:v>
      </x:c>
      <x:c r="K1185" s="2" t="n">
        <x:v>50</x:v>
      </x:c>
      <x:c r="L1185" s="2" t="n">
        <x:f>G1185*H1185</x:f>
        <x:v>1500</x:v>
      </x:c>
      <x:c r="M1185" s="2" t="n">
        <x:f>ROUND(L1185*(1-I1185),2)</x:f>
        <x:v>1350</x:v>
      </x:c>
      <x:c r="N1185" s="2" t="n">
        <x:f>G1185*J1185</x:f>
        <x:v>900</x:v>
      </x:c>
      <x:c r="O1185" s="2" t="n">
        <x:f>M1185-N1185-K1185</x:f>
        <x:v>400</x:v>
      </x:c>
      <x:c r="P1185" s="1" t="str">
        <x:f>TEXT(B1185,"yyyy-mm")</x:f>
        <x:v>2025-09</x:v>
      </x:c>
    </x:row>
    <x:row r="1186">
      <x:c r="A1186" s="1" t="str">
        <x:v>ORD-1182</x:v>
      </x:c>
      <x:c r="B1186" s="4" t="d">
        <x:v>2025-03-07T00:00:00.000Z</x:v>
      </x:c>
      <x:c r="C1186" s="1" t="str">
        <x:v>C-078</x:v>
      </x:c>
      <x:c r="D1186" s="1" t="str">
        <x:v>West</x:v>
      </x:c>
      <x:c r="E1186" s="1" t="str">
        <x:v>Home</x:v>
      </x:c>
      <x:c r="F1186" s="1" t="str">
        <x:v>Desk lamp</x:v>
      </x:c>
      <x:c r="G1186" s="1" t="n">
        <x:v>2</x:v>
      </x:c>
      <x:c r="H1186" s="2" t="n">
        <x:v>1100</x:v>
      </x:c>
      <x:c r="I1186" s="3" t="n">
        <x:v>0.1</x:v>
      </x:c>
      <x:c r="J1186" s="2" t="n">
        <x:v>650</x:v>
      </x:c>
      <x:c r="K1186" s="2" t="n">
        <x:v>120</x:v>
      </x:c>
      <x:c r="L1186" s="2" t="n">
        <x:f>G1186*H1186</x:f>
        <x:v>2200</x:v>
      </x:c>
      <x:c r="M1186" s="2" t="n">
        <x:f>ROUND(L1186*(1-I1186),2)</x:f>
        <x:v>1980</x:v>
      </x:c>
      <x:c r="N1186" s="2" t="n">
        <x:f>G1186*J1186</x:f>
        <x:v>1300</x:v>
      </x:c>
      <x:c r="O1186" s="2" t="n">
        <x:f>M1186-N1186-K1186</x:f>
        <x:v>560</x:v>
      </x:c>
      <x:c r="P1186" s="1" t="str">
        <x:f>TEXT(B1186,"yyyy-mm")</x:f>
        <x:v>2025-03</x:v>
      </x:c>
    </x:row>
    <x:row r="1187">
      <x:c r="A1187" s="1" t="str">
        <x:v>ORD-1183</x:v>
      </x:c>
      <x:c r="B1187" s="4" t="d">
        <x:v>2025-01-29T00:00:00.000Z</x:v>
      </x:c>
      <x:c r="C1187" s="1" t="str">
        <x:v>C-169</x:v>
      </x:c>
      <x:c r="D1187" s="1" t="str">
        <x:v>South</x:v>
      </x:c>
      <x:c r="E1187" s="1" t="str">
        <x:v>Home</x:v>
      </x:c>
      <x:c r="F1187" s="1" t="str">
        <x:v>Desk lamp</x:v>
      </x:c>
      <x:c r="G1187" s="1" t="n">
        <x:v>3</x:v>
      </x:c>
      <x:c r="H1187" s="2" t="n">
        <x:v>1100</x:v>
      </x:c>
      <x:c r="I1187" s="3" t="n">
        <x:v>0.35</x:v>
      </x:c>
      <x:c r="J1187" s="2" t="n">
        <x:v>650</x:v>
      </x:c>
      <x:c r="K1187" s="2" t="n">
        <x:v>80</x:v>
      </x:c>
      <x:c r="L1187" s="2" t="n">
        <x:f>G1187*H1187</x:f>
        <x:v>3300</x:v>
      </x:c>
      <x:c r="M1187" s="2" t="n">
        <x:f>ROUND(L1187*(1-I1187),2)</x:f>
        <x:v>2145</x:v>
      </x:c>
      <x:c r="N1187" s="2" t="n">
        <x:f>G1187*J1187</x:f>
        <x:v>1950</x:v>
      </x:c>
      <x:c r="O1187" s="2" t="n">
        <x:f>M1187-N1187-K1187</x:f>
        <x:v>115</x:v>
      </x:c>
      <x:c r="P1187" s="1" t="str">
        <x:f>TEXT(B1187,"yyyy-mm")</x:f>
        <x:v>2025-01</x:v>
      </x:c>
    </x:row>
    <x:row r="1188">
      <x:c r="A1188" s="1" t="str">
        <x:v>ORD-1184</x:v>
      </x:c>
      <x:c r="B1188" s="4" t="d">
        <x:v>2025-09-26T00:00:00.000Z</x:v>
      </x:c>
      <x:c r="C1188" s="1" t="str">
        <x:v>C-213</x:v>
      </x:c>
      <x:c r="D1188" s="1" t="str">
        <x:v>East</x:v>
      </x:c>
      <x:c r="E1188" s="1" t="str">
        <x:v>Electronics</x:v>
      </x:c>
      <x:c r="F1188" s="1" t="str">
        <x:v>Headphones</x:v>
      </x:c>
      <x:c r="G1188" s="1" t="n">
        <x:v>1</x:v>
      </x:c>
      <x:c r="H1188" s="2" t="n">
        <x:v>2200</x:v>
      </x:c>
      <x:c r="I1188" s="3" t="n">
        <x:v>0.25</x:v>
      </x:c>
      <x:c r="J1188" s="2" t="n">
        <x:v>1450</x:v>
      </x:c>
      <x:c r="K1188" s="2" t="n">
        <x:v>50</x:v>
      </x:c>
      <x:c r="L1188" s="2" t="n">
        <x:f>G1188*H1188</x:f>
        <x:v>2200</x:v>
      </x:c>
      <x:c r="M1188" s="2" t="n">
        <x:f>ROUND(L1188*(1-I1188),2)</x:f>
        <x:v>1650</x:v>
      </x:c>
      <x:c r="N1188" s="2" t="n">
        <x:f>G1188*J1188</x:f>
        <x:v>1450</x:v>
      </x:c>
      <x:c r="O1188" s="2" t="n">
        <x:f>M1188-N1188-K1188</x:f>
        <x:v>150</x:v>
      </x:c>
      <x:c r="P1188" s="1" t="str">
        <x:f>TEXT(B1188,"yyyy-mm")</x:f>
        <x:v>2025-09</x:v>
      </x:c>
    </x:row>
    <x:row r="1189">
      <x:c r="A1189" s="1" t="str">
        <x:v>ORD-1185</x:v>
      </x:c>
      <x:c r="B1189" s="4" t="d">
        <x:v>2025-11-08T00:00:00.000Z</x:v>
      </x:c>
      <x:c r="C1189" s="1" t="str">
        <x:v>C-106</x:v>
      </x:c>
      <x:c r="D1189" s="1" t="str">
        <x:v>North</x:v>
      </x:c>
      <x:c r="E1189" s="1" t="str">
        <x:v>Fashion</x:v>
      </x:c>
      <x:c r="F1189" s="1" t="str">
        <x:v>Backpack</x:v>
      </x:c>
      <x:c r="G1189" s="1" t="n">
        <x:v>2</x:v>
      </x:c>
      <x:c r="H1189" s="2" t="n">
        <x:v>1300</x:v>
      </x:c>
      <x:c r="I1189" s="3" t="n">
        <x:v>0.1</x:v>
      </x:c>
      <x:c r="J1189" s="2" t="n">
        <x:v>650</x:v>
      </x:c>
      <x:c r="K1189" s="2" t="n">
        <x:v>120</x:v>
      </x:c>
      <x:c r="L1189" s="2" t="n">
        <x:f>G1189*H1189</x:f>
        <x:v>2600</x:v>
      </x:c>
      <x:c r="M1189" s="2" t="n">
        <x:f>ROUND(L1189*(1-I1189),2)</x:f>
        <x:v>2340</x:v>
      </x:c>
      <x:c r="N1189" s="2" t="n">
        <x:f>G1189*J1189</x:f>
        <x:v>1300</x:v>
      </x:c>
      <x:c r="O1189" s="2" t="n">
        <x:f>M1189-N1189-K1189</x:f>
        <x:v>920</x:v>
      </x:c>
      <x:c r="P1189" s="1" t="str">
        <x:f>TEXT(B1189,"yyyy-mm")</x:f>
        <x:v>2025-11</x:v>
      </x:c>
    </x:row>
    <x:row r="1190">
      <x:c r="A1190" s="1" t="str">
        <x:v>ORD-1186</x:v>
      </x:c>
      <x:c r="B1190" s="4" t="d">
        <x:v>2025-10-28T00:00:00.000Z</x:v>
      </x:c>
      <x:c r="C1190" s="1" t="str">
        <x:v>C-196</x:v>
      </x:c>
      <x:c r="D1190" s="1" t="str">
        <x:v>East</x:v>
      </x:c>
      <x:c r="E1190" s="1" t="str">
        <x:v>Fashion</x:v>
      </x:c>
      <x:c r="F1190" s="1" t="str">
        <x:v>T-shirt</x:v>
      </x:c>
      <x:c r="G1190" s="1" t="n">
        <x:v>2</x:v>
      </x:c>
      <x:c r="H1190" s="2" t="n">
        <x:v>700</x:v>
      </x:c>
      <x:c r="I1190" s="3" t="n">
        <x:v>0.25</x:v>
      </x:c>
      <x:c r="J1190" s="2" t="n">
        <x:v>300</x:v>
      </x:c>
      <x:c r="K1190" s="2" t="n">
        <x:v>80</x:v>
      </x:c>
      <x:c r="L1190" s="2" t="n">
        <x:f>G1190*H1190</x:f>
        <x:v>1400</x:v>
      </x:c>
      <x:c r="M1190" s="2" t="n">
        <x:f>ROUND(L1190*(1-I1190),2)</x:f>
        <x:v>1050</x:v>
      </x:c>
      <x:c r="N1190" s="2" t="n">
        <x:f>G1190*J1190</x:f>
        <x:v>600</x:v>
      </x:c>
      <x:c r="O1190" s="2" t="n">
        <x:f>M1190-N1190-K1190</x:f>
        <x:v>370</x:v>
      </x:c>
      <x:c r="P1190" s="1" t="str">
        <x:f>TEXT(B1190,"yyyy-mm")</x:f>
        <x:v>2025-10</x:v>
      </x:c>
    </x:row>
    <x:row r="1191">
      <x:c r="A1191" s="1" t="str">
        <x:v>ORD-1187</x:v>
      </x:c>
      <x:c r="B1191" s="4" t="d">
        <x:v>2025-09-03T00:00:00.000Z</x:v>
      </x:c>
      <x:c r="C1191" s="1" t="str">
        <x:v>C-099</x:v>
      </x:c>
      <x:c r="D1191" s="1" t="str">
        <x:v>North</x:v>
      </x:c>
      <x:c r="E1191" s="1" t="str">
        <x:v>Electronics</x:v>
      </x:c>
      <x:c r="F1191" s="1" t="str">
        <x:v>Keyboard</x:v>
      </x:c>
      <x:c r="G1191" s="1" t="n">
        <x:v>2</x:v>
      </x:c>
      <x:c r="H1191" s="2" t="n">
        <x:v>1500</x:v>
      </x:c>
      <x:c r="I1191" s="3" t="n">
        <x:v>0.15</x:v>
      </x:c>
      <x:c r="J1191" s="2" t="n">
        <x:v>900</x:v>
      </x:c>
      <x:c r="K1191" s="2" t="n">
        <x:v>50</x:v>
      </x:c>
      <x:c r="L1191" s="2" t="n">
        <x:f>G1191*H1191</x:f>
        <x:v>3000</x:v>
      </x:c>
      <x:c r="M1191" s="2" t="n">
        <x:f>ROUND(L1191*(1-I1191),2)</x:f>
        <x:v>2550</x:v>
      </x:c>
      <x:c r="N1191" s="2" t="n">
        <x:f>G1191*J1191</x:f>
        <x:v>1800</x:v>
      </x:c>
      <x:c r="O1191" s="2" t="n">
        <x:f>M1191-N1191-K1191</x:f>
        <x:v>700</x:v>
      </x:c>
      <x:c r="P1191" s="1" t="str">
        <x:f>TEXT(B1191,"yyyy-mm")</x:f>
        <x:v>2025-09</x:v>
      </x:c>
    </x:row>
    <x:row r="1192">
      <x:c r="A1192" s="1" t="str">
        <x:v>ORD-1188</x:v>
      </x:c>
      <x:c r="B1192" s="4" t="d">
        <x:v>2025-03-18T00:00:00.000Z</x:v>
      </x:c>
      <x:c r="C1192" s="1" t="str">
        <x:v>C-105</x:v>
      </x:c>
      <x:c r="D1192" s="1" t="str">
        <x:v>South</x:v>
      </x:c>
      <x:c r="E1192" s="1" t="str">
        <x:v>Electronics</x:v>
      </x:c>
      <x:c r="F1192" s="1" t="str">
        <x:v>Smartwatch</x:v>
      </x:c>
      <x:c r="G1192" s="1" t="n">
        <x:v>1</x:v>
      </x:c>
      <x:c r="H1192" s="2" t="n">
        <x:v>4200</x:v>
      </x:c>
      <x:c r="I1192" s="3" t="n">
        <x:v>0.25</x:v>
      </x:c>
      <x:c r="J1192" s="2" t="n">
        <x:v>3000</x:v>
      </x:c>
      <x:c r="K1192" s="2" t="n">
        <x:v>80</x:v>
      </x:c>
      <x:c r="L1192" s="2" t="n">
        <x:f>G1192*H1192</x:f>
        <x:v>4200</x:v>
      </x:c>
      <x:c r="M1192" s="2" t="n">
        <x:f>ROUND(L1192*(1-I1192),2)</x:f>
        <x:v>3150</x:v>
      </x:c>
      <x:c r="N1192" s="2" t="n">
        <x:f>G1192*J1192</x:f>
        <x:v>3000</x:v>
      </x:c>
      <x:c r="O1192" s="2" t="n">
        <x:f>M1192-N1192-K1192</x:f>
        <x:v>70</x:v>
      </x:c>
      <x:c r="P1192" s="1" t="str">
        <x:f>TEXT(B1192,"yyyy-mm")</x:f>
        <x:v>2025-03</x:v>
      </x:c>
    </x:row>
    <x:row r="1193">
      <x:c r="A1193" s="1" t="str">
        <x:v>ORD-1189</x:v>
      </x:c>
      <x:c r="B1193" s="4" t="d">
        <x:v>2025-10-24T00:00:00.000Z</x:v>
      </x:c>
      <x:c r="C1193" s="1" t="str">
        <x:v>C-102</x:v>
      </x:c>
      <x:c r="D1193" s="1" t="str">
        <x:v>South</x:v>
      </x:c>
      <x:c r="E1193" s="1" t="str">
        <x:v>Fashion</x:v>
      </x:c>
      <x:c r="F1193" s="1" t="str">
        <x:v>Sneakers</x:v>
      </x:c>
      <x:c r="G1193" s="1" t="n">
        <x:v>4</x:v>
      </x:c>
      <x:c r="H1193" s="2" t="n">
        <x:v>2400</x:v>
      </x:c>
      <x:c r="I1193" s="3" t="n">
        <x:v>0.05</x:v>
      </x:c>
      <x:c r="J1193" s="2" t="n">
        <x:v>1200</x:v>
      </x:c>
      <x:c r="K1193" s="2" t="n">
        <x:v>50</x:v>
      </x:c>
      <x:c r="L1193" s="2" t="n">
        <x:f>G1193*H1193</x:f>
        <x:v>9600</x:v>
      </x:c>
      <x:c r="M1193" s="2" t="n">
        <x:f>ROUND(L1193*(1-I1193),2)</x:f>
        <x:v>9120</x:v>
      </x:c>
      <x:c r="N1193" s="2" t="n">
        <x:f>G1193*J1193</x:f>
        <x:v>4800</x:v>
      </x:c>
      <x:c r="O1193" s="2" t="n">
        <x:f>M1193-N1193-K1193</x:f>
        <x:v>4270</x:v>
      </x:c>
      <x:c r="P1193" s="1" t="str">
        <x:f>TEXT(B1193,"yyyy-mm")</x:f>
        <x:v>2025-10</x:v>
      </x:c>
    </x:row>
    <x:row r="1194">
      <x:c r="A1194" s="1" t="str">
        <x:v>ORD-1190</x:v>
      </x:c>
      <x:c r="B1194" s="4" t="d">
        <x:v>2025-09-19T00:00:00.000Z</x:v>
      </x:c>
      <x:c r="C1194" s="1" t="str">
        <x:v>C-230</x:v>
      </x:c>
      <x:c r="D1194" s="1" t="str">
        <x:v>South</x:v>
      </x:c>
      <x:c r="E1194" s="1" t="str">
        <x:v>Fashion</x:v>
      </x:c>
      <x:c r="F1194" s="1" t="str">
        <x:v>Sneakers</x:v>
      </x:c>
      <x:c r="G1194" s="1" t="n">
        <x:v>3</x:v>
      </x:c>
      <x:c r="H1194" s="2" t="n">
        <x:v>2400</x:v>
      </x:c>
      <x:c r="I1194" s="3" t="n">
        <x:v>0.1</x:v>
      </x:c>
      <x:c r="J1194" s="2" t="n">
        <x:v>1200</x:v>
      </x:c>
      <x:c r="K1194" s="2" t="n">
        <x:v>80</x:v>
      </x:c>
      <x:c r="L1194" s="2" t="n">
        <x:f>G1194*H1194</x:f>
        <x:v>7200</x:v>
      </x:c>
      <x:c r="M1194" s="2" t="n">
        <x:f>ROUND(L1194*(1-I1194),2)</x:f>
        <x:v>6480</x:v>
      </x:c>
      <x:c r="N1194" s="2" t="n">
        <x:f>G1194*J1194</x:f>
        <x:v>3600</x:v>
      </x:c>
      <x:c r="O1194" s="2" t="n">
        <x:f>M1194-N1194-K1194</x:f>
        <x:v>2800</x:v>
      </x:c>
      <x:c r="P1194" s="1" t="str">
        <x:f>TEXT(B1194,"yyyy-mm")</x:f>
        <x:v>2025-09</x:v>
      </x:c>
    </x:row>
    <x:row r="1195">
      <x:c r="A1195" s="1" t="str">
        <x:v>ORD-1191</x:v>
      </x:c>
      <x:c r="B1195" s="4" t="d">
        <x:v>2025-02-13T00:00:00.000Z</x:v>
      </x:c>
      <x:c r="C1195" s="1" t="str">
        <x:v>C-086</x:v>
      </x:c>
      <x:c r="D1195" s="1" t="str">
        <x:v>West</x:v>
      </x:c>
      <x:c r="E1195" s="1" t="str">
        <x:v>Fashion</x:v>
      </x:c>
      <x:c r="F1195" s="1" t="str">
        <x:v>Backpack</x:v>
      </x:c>
      <x:c r="G1195" s="1" t="n">
        <x:v>4</x:v>
      </x:c>
      <x:c r="H1195" s="2" t="n">
        <x:v>1300</x:v>
      </x:c>
      <x:c r="I1195" s="3" t="n">
        <x:v>0.15</x:v>
      </x:c>
      <x:c r="J1195" s="2" t="n">
        <x:v>650</x:v>
      </x:c>
      <x:c r="K1195" s="2" t="n">
        <x:v>80</x:v>
      </x:c>
      <x:c r="L1195" s="2" t="n">
        <x:f>G1195*H1195</x:f>
        <x:v>5200</x:v>
      </x:c>
      <x:c r="M1195" s="2" t="n">
        <x:f>ROUND(L1195*(1-I1195),2)</x:f>
        <x:v>4420</x:v>
      </x:c>
      <x:c r="N1195" s="2" t="n">
        <x:f>G1195*J1195</x:f>
        <x:v>2600</x:v>
      </x:c>
      <x:c r="O1195" s="2" t="n">
        <x:f>M1195-N1195-K1195</x:f>
        <x:v>1740</x:v>
      </x:c>
      <x:c r="P1195" s="1" t="str">
        <x:f>TEXT(B1195,"yyyy-mm")</x:f>
        <x:v>2025-02</x:v>
      </x:c>
    </x:row>
    <x:row r="1196">
      <x:c r="A1196" s="1" t="str">
        <x:v>ORD-1192</x:v>
      </x:c>
      <x:c r="B1196" s="4" t="d">
        <x:v>2025-08-27T00:00:00.000Z</x:v>
      </x:c>
      <x:c r="C1196" s="1" t="str">
        <x:v>C-247</x:v>
      </x:c>
      <x:c r="D1196" s="1" t="str">
        <x:v>North</x:v>
      </x:c>
      <x:c r="E1196" s="1" t="str">
        <x:v>Home</x:v>
      </x:c>
      <x:c r="F1196" s="1" t="str">
        <x:v>Office chair</x:v>
      </x:c>
      <x:c r="G1196" s="1" t="n">
        <x:v>4</x:v>
      </x:c>
      <x:c r="H1196" s="2" t="n">
        <x:v>5500</x:v>
      </x:c>
      <x:c r="I1196" s="3" t="n">
        <x:v>0.05</x:v>
      </x:c>
      <x:c r="J1196" s="2" t="n">
        <x:v>4400</x:v>
      </x:c>
      <x:c r="K1196" s="2" t="n">
        <x:v>80</x:v>
      </x:c>
      <x:c r="L1196" s="2" t="n">
        <x:f>G1196*H1196</x:f>
        <x:v>22000</x:v>
      </x:c>
      <x:c r="M1196" s="2" t="n">
        <x:f>ROUND(L1196*(1-I1196),2)</x:f>
        <x:v>20900</x:v>
      </x:c>
      <x:c r="N1196" s="2" t="n">
        <x:f>G1196*J1196</x:f>
        <x:v>17600</x:v>
      </x:c>
      <x:c r="O1196" s="2" t="n">
        <x:f>M1196-N1196-K1196</x:f>
        <x:v>3220</x:v>
      </x:c>
      <x:c r="P1196" s="1" t="str">
        <x:f>TEXT(B1196,"yyyy-mm")</x:f>
        <x:v>2025-08</x:v>
      </x:c>
    </x:row>
    <x:row r="1197">
      <x:c r="A1197" s="1" t="str">
        <x:v>ORD-1193</x:v>
      </x:c>
      <x:c r="B1197" s="4" t="d">
        <x:v>2025-11-18T00:00:00.000Z</x:v>
      </x:c>
      <x:c r="C1197" s="1" t="str">
        <x:v>C-079</x:v>
      </x:c>
      <x:c r="D1197" s="1" t="str">
        <x:v>South</x:v>
      </x:c>
      <x:c r="E1197" s="1" t="str">
        <x:v>Fashion</x:v>
      </x:c>
      <x:c r="F1197" s="1" t="str">
        <x:v>Sneakers</x:v>
      </x:c>
      <x:c r="G1197" s="1" t="n">
        <x:v>3</x:v>
      </x:c>
      <x:c r="H1197" s="2" t="n">
        <x:v>2400</x:v>
      </x:c>
      <x:c r="I1197" s="3" t="n">
        <x:v>0.25</x:v>
      </x:c>
      <x:c r="J1197" s="2" t="n">
        <x:v>1200</x:v>
      </x:c>
      <x:c r="K1197" s="2" t="n">
        <x:v>80</x:v>
      </x:c>
      <x:c r="L1197" s="2" t="n">
        <x:f>G1197*H1197</x:f>
        <x:v>7200</x:v>
      </x:c>
      <x:c r="M1197" s="2" t="n">
        <x:f>ROUND(L1197*(1-I1197),2)</x:f>
        <x:v>5400</x:v>
      </x:c>
      <x:c r="N1197" s="2" t="n">
        <x:f>G1197*J1197</x:f>
        <x:v>3600</x:v>
      </x:c>
      <x:c r="O1197" s="2" t="n">
        <x:f>M1197-N1197-K1197</x:f>
        <x:v>1720</x:v>
      </x:c>
      <x:c r="P1197" s="1" t="str">
        <x:f>TEXT(B1197,"yyyy-mm")</x:f>
        <x:v>2025-11</x:v>
      </x:c>
    </x:row>
    <x:row r="1198">
      <x:c r="A1198" s="1" t="str">
        <x:v>ORD-1194</x:v>
      </x:c>
      <x:c r="B1198" s="4" t="d">
        <x:v>2025-07-13T00:00:00.000Z</x:v>
      </x:c>
      <x:c r="C1198" s="1" t="str">
        <x:v>C-288</x:v>
      </x:c>
      <x:c r="D1198" s="1" t="str">
        <x:v>West</x:v>
      </x:c>
      <x:c r="E1198" s="1" t="str">
        <x:v>Home</x:v>
      </x:c>
      <x:c r="F1198" s="1" t="str">
        <x:v>Desk lamp</x:v>
      </x:c>
      <x:c r="G1198" s="1" t="n">
        <x:v>1</x:v>
      </x:c>
      <x:c r="H1198" s="2" t="n">
        <x:v>1100</x:v>
      </x:c>
      <x:c r="I1198" s="3" t="n">
        <x:v>0.1</x:v>
      </x:c>
      <x:c r="J1198" s="2" t="n">
        <x:v>650</x:v>
      </x:c>
      <x:c r="K1198" s="2" t="n">
        <x:v>80</x:v>
      </x:c>
      <x:c r="L1198" s="2" t="n">
        <x:f>G1198*H1198</x:f>
        <x:v>1100</x:v>
      </x:c>
      <x:c r="M1198" s="2" t="n">
        <x:f>ROUND(L1198*(1-I1198),2)</x:f>
        <x:v>990</x:v>
      </x:c>
      <x:c r="N1198" s="2" t="n">
        <x:f>G1198*J1198</x:f>
        <x:v>650</x:v>
      </x:c>
      <x:c r="O1198" s="2" t="n">
        <x:f>M1198-N1198-K1198</x:f>
        <x:v>260</x:v>
      </x:c>
      <x:c r="P1198" s="1" t="str">
        <x:f>TEXT(B1198,"yyyy-mm")</x:f>
        <x:v>2025-07</x:v>
      </x:c>
    </x:row>
    <x:row r="1199">
      <x:c r="A1199" s="1" t="str">
        <x:v>ORD-1195</x:v>
      </x:c>
      <x:c r="B1199" s="4" t="d">
        <x:v>2025-03-05T00:00:00.000Z</x:v>
      </x:c>
      <x:c r="C1199" s="1" t="str">
        <x:v>C-098</x:v>
      </x:c>
      <x:c r="D1199" s="1" t="str">
        <x:v>North</x:v>
      </x:c>
      <x:c r="E1199" s="1" t="str">
        <x:v>Home</x:v>
      </x:c>
      <x:c r="F1199" s="1" t="str">
        <x:v>Desk lamp</x:v>
      </x:c>
      <x:c r="G1199" s="1" t="n">
        <x:v>1</x:v>
      </x:c>
      <x:c r="H1199" s="2" t="n">
        <x:v>1100</x:v>
      </x:c>
      <x:c r="I1199" s="3" t="n">
        <x:v>0.05</x:v>
      </x:c>
      <x:c r="J1199" s="2" t="n">
        <x:v>650</x:v>
      </x:c>
      <x:c r="K1199" s="2" t="n">
        <x:v>120</x:v>
      </x:c>
      <x:c r="L1199" s="2" t="n">
        <x:f>G1199*H1199</x:f>
        <x:v>1100</x:v>
      </x:c>
      <x:c r="M1199" s="2" t="n">
        <x:f>ROUND(L1199*(1-I1199),2)</x:f>
        <x:v>1045</x:v>
      </x:c>
      <x:c r="N1199" s="2" t="n">
        <x:f>G1199*J1199</x:f>
        <x:v>650</x:v>
      </x:c>
      <x:c r="O1199" s="2" t="n">
        <x:f>M1199-N1199-K1199</x:f>
        <x:v>275</x:v>
      </x:c>
      <x:c r="P1199" s="1" t="str">
        <x:f>TEXT(B1199,"yyyy-mm")</x:f>
        <x:v>2025-03</x:v>
      </x:c>
    </x:row>
    <x:row r="1200">
      <x:c r="A1200" s="1" t="str">
        <x:v>ORD-1196</x:v>
      </x:c>
      <x:c r="B1200" s="4" t="d">
        <x:v>2025-10-13T00:00:00.000Z</x:v>
      </x:c>
      <x:c r="C1200" s="1" t="str">
        <x:v>C-213</x:v>
      </x:c>
      <x:c r="D1200" s="1" t="str">
        <x:v>West</x:v>
      </x:c>
      <x:c r="E1200" s="1" t="str">
        <x:v>Fashion</x:v>
      </x:c>
      <x:c r="F1200" s="1" t="str">
        <x:v>Backpack</x:v>
      </x:c>
      <x:c r="G1200" s="1" t="n">
        <x:v>3</x:v>
      </x:c>
      <x:c r="H1200" s="2" t="n">
        <x:v>1300</x:v>
      </x:c>
      <x:c r="I1200" s="3" t="n">
        <x:v>0.15</x:v>
      </x:c>
      <x:c r="J1200" s="2" t="n">
        <x:v>650</x:v>
      </x:c>
      <x:c r="K1200" s="2" t="n">
        <x:v>80</x:v>
      </x:c>
      <x:c r="L1200" s="2" t="n">
        <x:f>G1200*H1200</x:f>
        <x:v>3900</x:v>
      </x:c>
      <x:c r="M1200" s="2" t="n">
        <x:f>ROUND(L1200*(1-I1200),2)</x:f>
        <x:v>3315</x:v>
      </x:c>
      <x:c r="N1200" s="2" t="n">
        <x:f>G1200*J1200</x:f>
        <x:v>1950</x:v>
      </x:c>
      <x:c r="O1200" s="2" t="n">
        <x:f>M1200-N1200-K1200</x:f>
        <x:v>1285</x:v>
      </x:c>
      <x:c r="P1200" s="1" t="str">
        <x:f>TEXT(B1200,"yyyy-mm")</x:f>
        <x:v>2025-10</x:v>
      </x:c>
    </x:row>
    <x:row r="1201">
      <x:c r="A1201" s="1" t="str">
        <x:v>ORD-1197</x:v>
      </x:c>
      <x:c r="B1201" s="4" t="d">
        <x:v>2025-07-29T00:00:00.000Z</x:v>
      </x:c>
      <x:c r="C1201" s="1" t="str">
        <x:v>C-020</x:v>
      </x:c>
      <x:c r="D1201" s="1" t="str">
        <x:v>North</x:v>
      </x:c>
      <x:c r="E1201" s="1" t="str">
        <x:v>Electronics</x:v>
      </x:c>
      <x:c r="F1201" s="1" t="str">
        <x:v>Keyboard</x:v>
      </x:c>
      <x:c r="G1201" s="1" t="n">
        <x:v>4</x:v>
      </x:c>
      <x:c r="H1201" s="2" t="n">
        <x:v>1500</x:v>
      </x:c>
      <x:c r="I1201" s="3" t="n">
        <x:v>0.15</x:v>
      </x:c>
      <x:c r="J1201" s="2" t="n">
        <x:v>900</x:v>
      </x:c>
      <x:c r="K1201" s="2" t="n">
        <x:v>120</x:v>
      </x:c>
      <x:c r="L1201" s="2" t="n">
        <x:f>G1201*H1201</x:f>
        <x:v>6000</x:v>
      </x:c>
      <x:c r="M1201" s="2" t="n">
        <x:f>ROUND(L1201*(1-I1201),2)</x:f>
        <x:v>5100</x:v>
      </x:c>
      <x:c r="N1201" s="2" t="n">
        <x:f>G1201*J1201</x:f>
        <x:v>3600</x:v>
      </x:c>
      <x:c r="O1201" s="2" t="n">
        <x:f>M1201-N1201-K1201</x:f>
        <x:v>1380</x:v>
      </x:c>
      <x:c r="P1201" s="1" t="str">
        <x:f>TEXT(B1201,"yyyy-mm")</x:f>
        <x:v>2025-07</x:v>
      </x:c>
    </x:row>
    <x:row r="1202">
      <x:c r="A1202" s="1" t="str">
        <x:v>ORD-1198</x:v>
      </x:c>
      <x:c r="B1202" s="4" t="d">
        <x:v>2025-03-25T00:00:00.000Z</x:v>
      </x:c>
      <x:c r="C1202" s="1" t="str">
        <x:v>C-179</x:v>
      </x:c>
      <x:c r="D1202" s="1" t="str">
        <x:v>West</x:v>
      </x:c>
      <x:c r="E1202" s="1" t="str">
        <x:v>Home</x:v>
      </x:c>
      <x:c r="F1202" s="1" t="str">
        <x:v>Office chair</x:v>
      </x:c>
      <x:c r="G1202" s="1" t="n">
        <x:v>3</x:v>
      </x:c>
      <x:c r="H1202" s="2" t="n">
        <x:v>5500</x:v>
      </x:c>
      <x:c r="I1202" s="3" t="n">
        <x:v>0.1</x:v>
      </x:c>
      <x:c r="J1202" s="2" t="n">
        <x:v>4400</x:v>
      </x:c>
      <x:c r="K1202" s="2" t="n">
        <x:v>120</x:v>
      </x:c>
      <x:c r="L1202" s="2" t="n">
        <x:f>G1202*H1202</x:f>
        <x:v>16500</x:v>
      </x:c>
      <x:c r="M1202" s="2" t="n">
        <x:f>ROUND(L1202*(1-I1202),2)</x:f>
        <x:v>14850</x:v>
      </x:c>
      <x:c r="N1202" s="2" t="n">
        <x:f>G1202*J1202</x:f>
        <x:v>13200</x:v>
      </x:c>
      <x:c r="O1202" s="2" t="n">
        <x:f>M1202-N1202-K1202</x:f>
        <x:v>1530</x:v>
      </x:c>
      <x:c r="P1202" s="1" t="str">
        <x:f>TEXT(B1202,"yyyy-mm")</x:f>
        <x:v>2025-03</x:v>
      </x:c>
    </x:row>
    <x:row r="1203">
      <x:c r="A1203" s="1" t="str">
        <x:v>ORD-1199</x:v>
      </x:c>
      <x:c r="B1203" s="4" t="d">
        <x:v>2025-01-24T00:00:00.000Z</x:v>
      </x:c>
      <x:c r="C1203" s="1" t="str">
        <x:v>C-127</x:v>
      </x:c>
      <x:c r="D1203" s="1" t="str">
        <x:v>South</x:v>
      </x:c>
      <x:c r="E1203" s="1" t="str">
        <x:v>Home</x:v>
      </x:c>
      <x:c r="F1203" s="1" t="str">
        <x:v>Office chair</x:v>
      </x:c>
      <x:c r="G1203" s="1" t="n">
        <x:v>4</x:v>
      </x:c>
      <x:c r="H1203" s="2" t="n">
        <x:v>5500</x:v>
      </x:c>
      <x:c r="I1203" s="3" t="n">
        <x:v>0.15</x:v>
      </x:c>
      <x:c r="J1203" s="2" t="n">
        <x:v>4400</x:v>
      </x:c>
      <x:c r="K1203" s="2" t="n">
        <x:v>50</x:v>
      </x:c>
      <x:c r="L1203" s="2" t="n">
        <x:f>G1203*H1203</x:f>
        <x:v>22000</x:v>
      </x:c>
      <x:c r="M1203" s="2" t="n">
        <x:f>ROUND(L1203*(1-I1203),2)</x:f>
        <x:v>18700</x:v>
      </x:c>
      <x:c r="N1203" s="2" t="n">
        <x:f>G1203*J1203</x:f>
        <x:v>17600</x:v>
      </x:c>
      <x:c r="O1203" s="2" t="n">
        <x:f>M1203-N1203-K1203</x:f>
        <x:v>1050</x:v>
      </x:c>
      <x:c r="P1203" s="1" t="str">
        <x:f>TEXT(B1203,"yyyy-mm")</x:f>
        <x:v>2025-01</x:v>
      </x:c>
    </x:row>
    <x:row r="1204">
      <x:c r="A1204" s="1" t="str">
        <x:v>ORD-1200</x:v>
      </x:c>
      <x:c r="B1204" s="4" t="d">
        <x:v>2025-12-23T00:00:00.000Z</x:v>
      </x:c>
      <x:c r="C1204" s="1" t="str">
        <x:v>C-015</x:v>
      </x:c>
      <x:c r="D1204" s="1" t="str">
        <x:v>South</x:v>
      </x:c>
      <x:c r="E1204" s="1" t="str">
        <x:v>Fashion</x:v>
      </x:c>
      <x:c r="F1204" s="1" t="str">
        <x:v>Backpack</x:v>
      </x:c>
      <x:c r="G1204" s="1" t="n">
        <x:v>3</x:v>
      </x:c>
      <x:c r="H1204" s="2" t="n">
        <x:v>1300</x:v>
      </x:c>
      <x:c r="I1204" s="3" t="n">
        <x:v>0.35</x:v>
      </x:c>
      <x:c r="J1204" s="2" t="n">
        <x:v>650</x:v>
      </x:c>
      <x:c r="K1204" s="2" t="n">
        <x:v>120</x:v>
      </x:c>
      <x:c r="L1204" s="2" t="n">
        <x:f>G1204*H1204</x:f>
        <x:v>3900</x:v>
      </x:c>
      <x:c r="M1204" s="2" t="n">
        <x:f>ROUND(L1204*(1-I1204),2)</x:f>
        <x:v>2535</x:v>
      </x:c>
      <x:c r="N1204" s="2" t="n">
        <x:f>G1204*J1204</x:f>
        <x:v>1950</x:v>
      </x:c>
      <x:c r="O1204" s="2" t="n">
        <x:f>M1204-N1204-K1204</x:f>
        <x:v>465</x:v>
      </x:c>
      <x:c r="P1204" s="1" t="str">
        <x:f>TEXT(B1204,"yyyy-mm")</x:f>
        <x:v>2025-12</x:v>
      </x:c>
    </x:row>
  </x:sheetData>
  <x:pageMargins left="0.7" right="0.7" top="0.75" bottom="0.75" header="0.3" footer="0.3"/>
  <x:tableParts count="1">
    <x:tablePart xmlns:r="http://schemas.openxmlformats.org/officeDocument/2006/relationships" r:id="Rf2b5f014d7f84c7e"/>
  </x:tableParts>
</x:worksheet>
</file>